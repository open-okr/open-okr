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drawings/drawing1.xml" ContentType="application/vnd.openxmlformats-officedocument.drawing+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bookViews>
    <workbookView activeTab="0"/>
  </bookViews>
  <sheets>
    <sheet name="Read Me" sheetId="1" r:id="rId1"/>
    <sheet name="Module Guide" sheetId="2" r:id="rId2"/>
    <sheet name="Summary" sheetId="3" r:id="rId3"/>
    <sheet name="Personas" sheetId="4" r:id="rId4"/>
    <sheet name="Test Cases" sheetId="5" r:id="rId5"/>
    <sheet name="Bug Log" sheetId="6" r:id="rId6"/>
  </sheets>
  <definedNames>
    <definedName name="_xlnm._FilterDatabase" localSheetId="4" hidden="1">'Test Cases'!$A$1:$N$220</definedName>
    <definedName name="_xlnm._FilterDatabase" localSheetId="5" hidden="1">'Bug Log'!$A$1:$M$62</definedName>
  </definedNames>
  <calcPr calcId="191029" fullCalcOnLoad="1"/>
</workbook>
</file>

<file path=xl/styles.xml><?xml version="1.0" encoding="utf-8"?>
<styleSheet xmlns="http://schemas.openxmlformats.org/spreadsheetml/2006/main">
  <numFmts count="1">
    <numFmt numFmtId="164" formatCode="0%"/>
  </numFmts>
  <fonts count="6">
    <font>
      <sz val="10"/>
      <name val="Arial"/>
    </font>
    <font>
      <b/>
      <sz val="10"/>
      <color rgb="FFFFFFFF"/>
      <name val="Arial"/>
    </font>
    <font>
      <b/>
      <sz val="16"/>
      <color rgb="FF1F3864"/>
      <name val="Arial"/>
    </font>
    <font>
      <b/>
      <sz val="10"/>
      <name val="Arial"/>
    </font>
    <font>
      <sz val="10"/>
      <color rgb="FF595959"/>
      <name val="Arial"/>
    </font>
    <font>
      <i/>
      <sz val="10"/>
      <color rgb="FF7F7F7F"/>
      <name val="Arial"/>
    </font>
  </fonts>
  <fills count="5">
    <fill>
      <patternFill patternType="none"/>
    </fill>
    <fill>
      <patternFill patternType="gray125"/>
    </fill>
    <fill>
      <patternFill patternType="solid">
        <fgColor rgb="FF1F3864"/>
      </patternFill>
    </fill>
    <fill>
      <patternFill patternType="solid">
        <fgColor rgb="FFDDEBF7"/>
      </patternFill>
    </fill>
    <fill>
      <patternFill patternType="solid">
        <fgColor rgb="FFFFF8E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0" fillId="0" borderId="1" xfId="0" applyBorder="1" applyAlignment="1">
      <alignment vertical="top" wrapText="1"/>
    </xf>
    <xf numFmtId="0" fontId="1" fillId="2" borderId="1" xfId="0" applyFont="1" applyFill="1" applyBorder="1" applyAlignment="1">
      <alignment vertical="center" wrapText="1"/>
    </xf>
    <xf numFmtId="0" fontId="3" fillId="3" borderId="1" xfId="0" applyFont="1" applyFill="1" applyBorder="1"/>
    <xf numFmtId="0" fontId="2" fillId="0" borderId="0" xfId="0" applyFont="1"/>
    <xf numFmtId="0" fontId="0" fillId="4" borderId="1" xfId="0" applyFill="1" applyBorder="1" applyAlignment="1">
      <alignment vertical="top" wrapText="1"/>
    </xf>
    <xf numFmtId="164" fontId="0" fillId="0" borderId="1" xfId="0" applyNumberFormat="1" applyBorder="1"/>
    <xf numFmtId="0" fontId="3" fillId="3" borderId="1" xfId="0" applyFont="1" applyFill="1" applyBorder="1"/>
    <xf numFmtId="164" fontId="3" fillId="3" borderId="1" xfId="0" applyNumberFormat="1" applyFont="1" applyFill="1" applyBorder="1"/>
    <xf numFmtId="0" fontId="0" fillId="0" borderId="0" xfId="0" applyAlignment="1">
      <alignment vertical="top" wrapText="1"/>
    </xf>
    <xf numFmtId="0" fontId="4" fillId="0" borderId="0" xfId="0" applyFont="1" applyAlignment="1">
      <alignment vertical="top" wrapText="1"/>
    </xf>
    <xf numFmtId="0" fontId="5" fillId="4" borderId="1" xfId="0" applyFont="1" applyFill="1" applyBorder="1" applyAlignment="1">
      <alignment vertical="top" wrapText="1"/>
    </xf>
    <xf numFmtId="0" fontId="3" fillId="3" borderId="1" xfId="0" applyFont="1" applyFill="1" applyBorder="1" applyAlignment="1">
      <alignment vertical="top" wrapText="1"/>
    </xf>
  </cellXfs>
  <dxfs count="5">
    <dxf>
      <font>
        <b/>
        <color rgb="FF006100"/>
      </font>
      <fill>
        <patternFill>
          <bgColor rgb="FFC6EFCE"/>
        </patternFill>
      </fill>
    </dxf>
    <dxf>
      <font>
        <b/>
        <color rgb="FF9C0006"/>
      </font>
      <fill>
        <patternFill>
          <bgColor rgb="FFFFC7CE"/>
        </patternFill>
      </fill>
    </dxf>
    <dxf>
      <font>
        <b/>
        <color rgb="FF833C0B"/>
      </font>
      <fill>
        <patternFill>
          <bgColor rgb="FFF8CBAD"/>
        </patternFill>
      </fill>
    </dxf>
    <dxf>
      <font>
        <b/>
        <color rgb="FF9C5700"/>
      </font>
      <fill>
        <patternFill>
          <bgColor rgb="FFFFEB9C"/>
        </patternFill>
      </fill>
    </dxf>
    <dxf>
      <font>
        <color rgb="FF595959"/>
      </font>
      <fill>
        <patternFill>
          <bgColor rgb="FFE7E6E6"/>
        </patternFill>
      </fill>
    </dxf>
  </d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styles" Target="styles.xml"/>
</Relationships>
</file>

<file path=xl/drawings/_rels/drawing1.xml.rels><?xml version="1.0" encoding="UTF-8" standalone="yes"?>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4</xdr:row>
      <xdr:rowOff>76200</xdr:rowOff>
    </xdr:from>
    <xdr:ext cx="8382000" cy="7439025"/>
    <xdr:pic>
      <xdr:nvPicPr>
        <xdr:cNvPr id="2" name="Workflow" descr="The order to test the modules in, from set up to integrations"/>
        <xdr:cNvPicPr>
          <a:picLocks noChangeAspect="1"/>
        </xdr:cNvPicPr>
      </xdr:nvPicPr>
      <xdr:blipFill>
        <a:blip r:embed="rId1"/>
        <a:stretch>
          <a:fillRect/>
        </a:stretch>
      </xdr:blipFill>
      <xdr:spPr>
        <a:xfrm>
          <a:off x="0" y="0"/>
          <a:ext cx="8382000" cy="7439025"/>
        </a:xfrm>
        <a:prstGeom prst="rect">
          <a:avLst/>
        </a:prstGeom>
      </xdr:spPr>
    </xdr:pic>
    <xdr:clientData/>
  </xdr:oneCellAnchor>
</xdr:wsDr>
</file>

<file path=xl/worksheets/_rels/sheet1.xml.rels><?xml version="1.0" encoding="UTF-8" standalone="yes"?>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Views>
    <sheetView workbookViewId="0" showGridLines="0"/>
  </sheetViews>
  <cols>
    <col min="1" max="1" width="16" customWidth="1"/>
    <col min="2" max="2" width="110" customWidth="1"/>
  </cols>
  <sheetData>
    <row r="1" ht="28" customHeight="1">
      <c r="A1" s="4" t="inlineStr">
        <is>
          <t xml:space="preserve">OpenOKR user acceptance test</t>
        </is>
      </c>
      <c r="B1" s="4"/>
    </row>
    <row r="2" ht="42" customHeight="1">
      <c r="A2" s="10" t="inlineStr">
        <is>
          <t xml:space="preserve">A step-by-step test of the whole product through its screens, done by a person. It follows the order the product is used in: install, invite the team, plan the cycle, draft and publish OKRs, run the week, close the quarter, then the integrations.</t>
        </is>
      </c>
      <c r="B2" s="10"/>
    </row>
    <row r="3">
      <c r="A3" s="9"/>
      <c r="B3" s="9"/>
    </row>
    <row r="4">
      <c r="A4" s="2" t="inlineStr">
        <is>
          <t xml:space="preserve">The workflow at a glance</t>
        </is>
      </c>
      <c r="B4" s="2"/>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c r="A52" s="9"/>
      <c r="B52" s="9"/>
    </row>
    <row r="53">
      <c r="A53" s="2" t="inlineStr">
        <is>
          <t xml:space="preserve">How to use this workbook</t>
        </is>
      </c>
      <c r="B53" s="2"/>
    </row>
    <row r="54">
      <c r="A54" s="1">
        <v>1</v>
      </c>
      <c r="B54" s="1" t="inlineStr">
        <is>
          <t xml:space="preserve">Start a fresh instance with an empty database and the staging overlay (docs/install/staging.md). Note the URL.</t>
        </is>
      </c>
    </row>
    <row r="55">
      <c r="A55" s="1">
        <v>2</v>
      </c>
      <c r="B55" s="1" t="inlineStr">
        <is>
          <t xml:space="preserve">Type the shared inbox on the Personas sheet. The seven persona addresses fill themselves in.</t>
        </is>
      </c>
    </row>
    <row r="56">
      <c r="A56" s="1">
        <v>3</v>
      </c>
      <c r="B56" s="1" t="inlineStr">
        <is>
          <t xml:space="preserve">Work down the Test Cases sheet in order. Each module builds on the one before it.</t>
        </is>
      </c>
    </row>
    <row r="57">
      <c r="A57" s="1">
        <v>4</v>
      </c>
      <c r="B57" s="1" t="inlineStr">
        <is>
          <t xml:space="preserve">Sign in as the person in "Login as". Check the Pre-condition, follow the Steps, compare with Expected result.</t>
        </is>
      </c>
    </row>
    <row r="58">
      <c r="A58" s="1">
        <v>5</v>
      </c>
      <c r="B58" s="1" t="inlineStr">
        <is>
          <t xml:space="preserve">Pick a Status from the dropdown. For anything other than Pass, write what you saw in "Actual result / notes".</t>
        </is>
      </c>
    </row>
    <row r="59">
      <c r="A59" s="1">
        <v>6</v>
      </c>
      <c r="B59" s="1" t="inlineStr">
        <is>
          <t xml:space="preserve">For each Fail or Error, add a row on Bug Log with a screenshot link, and put its Bug ID on the test case.</t>
        </is>
      </c>
    </row>
    <row r="60">
      <c r="A60" s="1">
        <v>7</v>
      </c>
      <c r="B60" s="1" t="inlineStr">
        <is>
          <t xml:space="preserve">Read the Summary sheet for the totals. It updates by itself.</t>
        </is>
      </c>
    </row>
    <row r="61">
      <c r="A61" s="9"/>
      <c r="B61" s="9"/>
    </row>
    <row r="62">
      <c r="A62" s="2" t="inlineStr">
        <is>
          <t xml:space="preserve">Status</t>
        </is>
      </c>
      <c r="B62" s="2" t="inlineStr">
        <is>
          <t xml:space="preserve">When to use it</t>
        </is>
      </c>
    </row>
    <row r="63">
      <c r="A63" s="1" t="inlineStr">
        <is>
          <t xml:space="preserve">Not Run</t>
        </is>
      </c>
      <c r="B63" s="1" t="inlineStr">
        <is>
          <t xml:space="preserve">Not tested yet. Every case starts here.</t>
        </is>
      </c>
    </row>
    <row r="64">
      <c r="A64" s="1" t="inlineStr">
        <is>
          <t xml:space="preserve">Pass</t>
        </is>
      </c>
      <c r="B64" s="1" t="inlineStr">
        <is>
          <t xml:space="preserve">What you saw matches Expected result.</t>
        </is>
      </c>
    </row>
    <row r="65">
      <c r="A65" s="1" t="inlineStr">
        <is>
          <t xml:space="preserve">Fail</t>
        </is>
      </c>
      <c r="B65" s="1" t="inlineStr">
        <is>
          <t xml:space="preserve">The screen works but the result is different from Expected result. Wrong text, wrong number, missing item, a refusal that should not happen.</t>
        </is>
      </c>
    </row>
    <row r="66">
      <c r="A66" s="1" t="inlineStr">
        <is>
          <t xml:space="preserve">Error</t>
        </is>
      </c>
      <c r="B66" s="1" t="inlineStr">
        <is>
          <t xml:space="preserve">The app broke: an error page, "We could not load", a blank screen, a spinner that never ends, or a crash.</t>
        </is>
      </c>
    </row>
    <row r="67">
      <c r="A67" s="1" t="inlineStr">
        <is>
          <t xml:space="preserve">Blocked</t>
        </is>
      </c>
      <c r="B67" s="1" t="inlineStr">
        <is>
          <t xml:space="preserve">You could not run the test because something earlier failed, or a pre-condition cannot be met. Say which in the notes.</t>
        </is>
      </c>
    </row>
    <row r="68">
      <c r="A68" s="1" t="inlineStr">
        <is>
          <t xml:space="preserve">N/A</t>
        </is>
      </c>
      <c r="B68" s="1" t="inlineStr">
        <is>
          <t xml:space="preserve">Does not apply to this instance, for example no Slack workspace or no passkey device.</t>
        </is>
      </c>
    </row>
    <row r="69">
      <c r="A69" s="9"/>
      <c r="B69" s="9"/>
    </row>
    <row r="70">
      <c r="A70" s="2" t="inlineStr">
        <is>
          <t xml:space="preserve">Before you start</t>
        </is>
      </c>
      <c r="B70" s="2"/>
    </row>
    <row r="71">
      <c r="A71" s="1" t="inlineStr">
        <is>
          <t xml:space="preserve">Browsers</t>
        </is>
      </c>
      <c r="B71" s="1" t="inlineStr">
        <is>
          <t xml:space="preserve">One browser profile per persona. Two screens help for M13 and M15, where two people act at once.</t>
        </is>
      </c>
    </row>
    <row r="72">
      <c r="A72" s="1" t="inlineStr">
        <is>
          <t xml:space="preserve">Personas</t>
        </is>
      </c>
      <c r="B72" s="1" t="inlineStr">
        <is>
          <t xml:space="preserve">The seven accounts are created by a command after the setup wizard (M02-04), not by hand. They join through a real invitation, and titles, managers and spaces stay empty for M06 and M07.</t>
        </is>
      </c>
    </row>
    <row r="73">
      <c r="A73" s="1" t="inlineStr">
        <is>
          <t xml:space="preserve">Email</t>
        </is>
      </c>
      <c r="B73" s="1" t="inlineStr">
        <is>
          <t xml:space="preserve">Every persona address is a plus-address on one inbox, so reset mails reach it once SMTP is set up. Without SMTP the instance prints every mail to its log, and invitation links are also shown once on Admin, Invitations. Mailpit is the quick fix (SMTP on port 1025, inbox at http://localhost:8025).</t>
        </is>
      </c>
    </row>
    <row r="74">
      <c r="A74" s="1" t="inlineStr">
        <is>
          <t xml:space="preserve">Server access</t>
        </is>
      </c>
      <c r="B74" s="1" t="inlineStr">
        <is>
          <t xml:space="preserve">A few cases need someone who can read logs, restart the instance or run a pnpm command. They say so in the hint.</t>
        </is>
      </c>
    </row>
    <row r="75">
      <c r="A75" s="1" t="inlineStr">
        <is>
          <t xml:space="preserve">AI</t>
        </is>
      </c>
      <c r="B75" s="1" t="inlineStr">
        <is>
          <t xml:space="preserve">AI is off by default and everything before M20 is tested with it off. M20 needs a provider key with a spending limit.</t>
        </is>
      </c>
    </row>
    <row r="76">
      <c r="A76" s="1" t="inlineStr">
        <is>
          <t xml:space="preserve">Integrations</t>
        </is>
      </c>
      <c r="B76" s="1" t="inlineStr">
        <is>
          <t xml:space="preserve">M21 to M26 need outside accounts (Slack, Teams, WhatsApp, Telegram, an identity provider, an MCP client). Mark N/A for any you do not have.</t>
        </is>
      </c>
    </row>
    <row r="77">
      <c r="A77" s="1" t="inlineStr">
        <is>
          <t xml:space="preserve">Never</t>
        </is>
      </c>
      <c r="B77" s="1" t="inlineStr">
        <is>
          <t xml:space="preserve">Paste an API key, a token or a real person's password into this workbook. The one shared password on Personas belongs to test accounts on the staging instance only.</t>
        </is>
      </c>
    </row>
    <row r="78">
      <c r="A78" s="9"/>
      <c r="B78" s="9"/>
    </row>
    <row r="79">
      <c r="A79" s="2" t="inlineStr">
        <is>
          <t xml:space="preserve">Known risks found while writing this</t>
        </is>
      </c>
      <c r="B79" s="2"/>
    </row>
    <row r="80">
      <c r="A80" s="1" t="inlineStr">
        <is>
          <t xml:space="preserve">Publishing</t>
        </is>
      </c>
      <c r="B80" s="1" t="inlineStr">
        <is>
          <t xml:space="preserve">Code review suggests gates 2 and 5 have no field in the UI. M11-05 tests it. If they cannot turn green, publish with the override in M11-07.</t>
        </is>
      </c>
    </row>
    <row r="81">
      <c r="A81" s="1" t="inlineStr">
        <is>
          <t xml:space="preserve">Sessions</t>
        </is>
      </c>
      <c r="B81" s="1" t="inlineStr">
        <is>
          <t xml:space="preserve">Sessions cannot be created from the UI. The only weekly session is the one the starter template makes in M02. Quarterly reviews may not be reachable at all (M18-06).</t>
        </is>
      </c>
    </row>
    <row r="82">
      <c r="A82" s="1" t="inlineStr">
        <is>
          <t xml:space="preserve">Admins</t>
        </is>
      </c>
      <c r="B82" s="1" t="inlineStr">
        <is>
          <t xml:space="preserve">Only the first account has full access, and no screen grants it to anyone else.</t>
        </is>
      </c>
    </row>
    <row r="83">
      <c r="A83" s="1" t="inlineStr">
        <is>
          <t xml:space="preserve">Chat test</t>
        </is>
      </c>
      <c r="B83" s="1" t="inlineStr">
        <is>
          <t xml:space="preserve">"Send me a test" on Admin, Channels sends an email, not a chat message.</t>
        </is>
      </c>
    </row>
    <row r="84">
      <c r="A84" s="1" t="inlineStr">
        <is>
          <t xml:space="preserve">2FA</t>
        </is>
      </c>
      <c r="B84" s="1" t="inlineStr">
        <is>
          <t xml:space="preserve">There is no button to turn one-time codes off. Use the throwaway persona Amara.</t>
        </is>
      </c>
    </row>
    <row r="85">
      <c r="A85" s="9"/>
      <c r="B85" s="9"/>
    </row>
    <row r="86">
      <c r="A86" s="10" t="inlineStr">
        <is>
          <t xml:space="preserve">Generated from docs/testing/uat-cases.mjs and uat-guide.mjs. 193 test cases across 26 modules.</t>
        </is>
      </c>
      <c r="B86" s="10"/>
    </row>
  </sheetData>
  <mergeCells count="13">
    <mergeCell ref="A1:B1"/>
    <mergeCell ref="A2:B2"/>
    <mergeCell ref="A3:B3"/>
    <mergeCell ref="A4:B4"/>
    <mergeCell ref="A52:B52"/>
    <mergeCell ref="A53:B53"/>
    <mergeCell ref="A61:B61"/>
    <mergeCell ref="A69:B69"/>
    <mergeCell ref="A70:B70"/>
    <mergeCell ref="A78:B78"/>
    <mergeCell ref="A79:B79"/>
    <mergeCell ref="A85:B85"/>
    <mergeCell ref="A86:B86"/>
  </mergeCells>
  <pageMargins left="0.4" right="0.4" top="0.5" bottom="0.5" header="0.3" footer="0.3"/>
  <pageSetup orientation="landscape" fitToWidth="1" fitToHeight="0"/>
  <drawing r:id="rId1"/>
</worksheet>
</file>

<file path=xl/worksheets/sheet2.xml><?xml version="1.0" encoding="utf-8"?>
<worksheet xmlns="http://schemas.openxmlformats.org/spreadsheetml/2006/main" xmlns:r="http://schemas.openxmlformats.org/officeDocument/2006/relationships">
  <sheetViews>
    <sheetView workbookViewId="0" zoomScale="100">
      <pane xSplit="1" ySplit="4" topLeftCell="B5" activePane="bottomRight" state="frozen"/>
    </sheetView>
  </sheetViews>
  <cols>
    <col min="1" max="1" width="22" customWidth="1"/>
    <col min="2" max="2" width="16" customWidth="1"/>
    <col min="3" max="3" width="34" customWidth="1"/>
    <col min="4" max="4" width="30" customWidth="1"/>
    <col min="5" max="5" width="20" customWidth="1"/>
    <col min="6" max="6" width="50" customWidth="1"/>
    <col min="7" max="7" width="12" customWidth="1"/>
    <col min="8" max="8" width="34" customWidth="1"/>
    <col min="9" max="9" width="30" customWidth="1"/>
    <col min="10" max="10" width="9" customWidth="1"/>
  </cols>
  <sheetData>
    <row r="1" ht="26" customHeight="1">
      <c r="A1" s="4" t="inlineStr">
        <is>
          <t xml:space="preserve">Module guide</t>
        </is>
      </c>
    </row>
    <row r="2">
      <c r="A2" s="10" t="inlineStr">
        <is>
          <t xml:space="preserve">What each module is for and how it flows, in the order to test it. The Test Cases sheet has the detailed steps; this sheet is the map.</t>
        </is>
      </c>
    </row>
    <row r="3"/>
    <row r="4" ht="30" customHeight="1">
      <c r="A4" s="2" t="inlineStr">
        <is>
          <t xml:space="preserve">Module</t>
        </is>
      </c>
      <c r="B4" s="2" t="inlineStr">
        <is>
          <t xml:space="preserve">Phase</t>
        </is>
      </c>
      <c r="C4" s="2" t="inlineStr">
        <is>
          <t xml:space="preserve">What it proves</t>
        </is>
      </c>
      <c r="D4" s="2" t="inlineStr">
        <is>
          <t xml:space="preserve">Screens</t>
        </is>
      </c>
      <c r="E4" s="2" t="inlineStr">
        <is>
          <t xml:space="preserve">Who signs in</t>
        </is>
      </c>
      <c r="F4" s="2" t="inlineStr">
        <is>
          <t xml:space="preserve">Workflow</t>
        </is>
      </c>
      <c r="G4" s="2" t="inlineStr">
        <is>
          <t xml:space="preserve">Needs first</t>
        </is>
      </c>
      <c r="H4" s="2" t="inlineStr">
        <is>
          <t xml:space="preserve">Leaves ready for later</t>
        </is>
      </c>
      <c r="I4" s="2" t="inlineStr">
        <is>
          <t xml:space="preserve">Setup needed</t>
        </is>
      </c>
      <c r="J4" s="2" t="inlineStr">
        <is>
          <t xml:space="preserve">Time (min)</t>
        </is>
      </c>
    </row>
    <row r="5" ht="58" customHeight="1">
      <c r="A5" s="12" t="inlineStr">
        <is>
          <t xml:space="preserve">M01 Install and first account</t>
        </is>
      </c>
      <c r="B5" s="1" t="inlineStr">
        <is>
          <t xml:space="preserve">1. Set up</t>
        </is>
      </c>
      <c r="C5" s="1" t="inlineStr">
        <is>
          <t xml:space="preserve">Turn an empty server into an instance with one owner</t>
        </is>
      </c>
      <c r="D5" s="1" t="inlineStr">
        <is>
          <t xml:space="preserve">/setup, /setup/account, /sign-up</t>
        </is>
      </c>
      <c r="E5" s="1" t="inlineStr">
        <is>
          <t xml:space="preserve">Admin</t>
        </is>
      </c>
      <c r="F5" s="1" t="inlineStr">
        <is>
          <t xml:space="preserve">1. Open the instance and get sent to setup
2. Name the instance Northwind Labs
3. Create the owner account
4. Check that registration is now closed</t>
        </is>
      </c>
      <c r="G5" s="1" t="inlineStr">
        <is>
          <t xml:space="preserve">Nothing. Start here</t>
        </is>
      </c>
      <c r="H5" s="1" t="inlineStr">
        <is>
          <t xml:space="preserve">An owner account. Everybody after this joins by invitation</t>
        </is>
      </c>
      <c r="I5" s="1" t="inlineStr">
        <is>
          <t xml:space="preserve">A fresh instance with an empty database</t>
        </is>
      </c>
      <c r="J5" s="1">
        <v>10</v>
      </c>
    </row>
    <row r="6" ht="110" customHeight="1">
      <c r="A6" s="12" t="inlineStr">
        <is>
          <t xml:space="preserve">M02 Welcome wizard</t>
        </is>
      </c>
      <c r="B6" s="1" t="inlineStr">
        <is>
          <t xml:space="preserve">1. Set up</t>
        </is>
      </c>
      <c r="C6" s="1" t="inlineStr">
        <is>
          <t xml:space="preserve">Give the new workspace its name, clock, rhythm and starting content</t>
        </is>
      </c>
      <c r="D6" s="1" t="inlineStr">
        <is>
          <t xml:space="preserve">/welcome</t>
        </is>
      </c>
      <c r="E6" s="1" t="inlineStr">
        <is>
          <t xml:space="preserve">Admin</t>
        </is>
      </c>
      <c r="F6" s="1" t="inlineStr">
        <is>
          <t xml:space="preserve">1. Name the workspace and pick its timezone
2. Choose the check-in rhythm
3. Skip the invite
4. Apply the OKR starter cycle template
5. Land on the work map
6. Operator runs deploy/staging/seed.sh for the seven personas
7. One persona signs in</t>
        </is>
      </c>
      <c r="G6" s="1" t="inlineStr">
        <is>
          <t xml:space="preserve">M01</t>
        </is>
      </c>
      <c r="H6" s="1" t="inlineStr">
        <is>
          <t xml:space="preserve">A current cycle, one objective with 3 key results, a KPI, a KPI tree, the weekly session M15 needs, and seven persona accounts</t>
        </is>
      </c>
      <c r="I6" s="1" t="inlineStr">
        <is>
          <t xml:space="preserve">Someone with shell access to the staging host for the seed step</t>
        </is>
      </c>
      <c r="J6" s="1">
        <v>20</v>
      </c>
    </row>
    <row r="7" ht="71" customHeight="1">
      <c r="A7" s="12" t="inlineStr">
        <is>
          <t xml:space="preserve">M03 Workspace settings</t>
        </is>
      </c>
      <c r="B7" s="1" t="inlineStr">
        <is>
          <t xml:space="preserve">1. Set up</t>
        </is>
      </c>
      <c r="C7" s="1" t="inlineStr">
        <is>
          <t xml:space="preserve">Check that workspace settings save, reload and reset</t>
        </is>
      </c>
      <c r="D7" s="1" t="inlineStr">
        <is>
          <t xml:space="preserve">Admin: General, Branding, Rhythm and thresholds</t>
        </is>
      </c>
      <c r="E7" s="1" t="inlineStr">
        <is>
          <t xml:space="preserve">Admin</t>
        </is>
      </c>
      <c r="F7" s="1" t="inlineStr">
        <is>
          <t xml:space="preserve">1. Change timezone and language
2. Check the mail warning
3. Set a brand colour
4. Set the check-in rhythm
5. Rename a concept, then set it back</t>
        </is>
      </c>
      <c r="G7" s="1" t="inlineStr">
        <is>
          <t xml:space="preserve">M02</t>
        </is>
      </c>
      <c r="H7" s="1" t="inlineStr">
        <is>
          <t xml:space="preserve">The rhythm every later reminder and due date follows</t>
        </is>
      </c>
      <c r="I7" s="1" t="inlineStr">
        <is>
          <t xml:space="preserve">Nothing extra</t>
        </is>
      </c>
      <c r="J7" s="1">
        <v>15</v>
      </c>
    </row>
    <row r="8" ht="84" customHeight="1">
      <c r="A8" s="12" t="inlineStr">
        <is>
          <t xml:space="preserve">M04 Invitations</t>
        </is>
      </c>
      <c r="B8" s="1" t="inlineStr">
        <is>
          <t xml:space="preserve">2. Build the team</t>
        </is>
      </c>
      <c r="C8" s="1" t="inlineStr">
        <is>
          <t xml:space="preserve">Check the invitation path with spare people, since the personas were seeded</t>
        </is>
      </c>
      <c r="D8" s="1" t="inlineStr">
        <is>
          <t xml:space="preserve">Admin, Invitations; /join/&lt;token&gt;; /sign-up</t>
        </is>
      </c>
      <c r="E8" s="1" t="inlineStr">
        <is>
          <t xml:space="preserve">Admin, then spare addresses</t>
        </is>
      </c>
      <c r="F8" s="1" t="inlineStr">
        <is>
          <t xml:space="preserve">1. Admin invites +leaver personally
2. Test Leaver opens the link and signs up
3. A wrong address is refused
4. A shared link admits +guest1 and +guest2
5. A domain outside the list is refused
6. Revoked and made-up links are refused</t>
        </is>
      </c>
      <c r="G8" s="1" t="inlineStr">
        <is>
          <t xml:space="preserve">M02</t>
        </is>
      </c>
      <c r="H8" s="1" t="inlineStr">
        <is>
          <t xml:space="preserve">Test Leaver, the spare account M19 erases</t>
        </is>
      </c>
      <c r="I8" s="1" t="inlineStr">
        <is>
          <t xml:space="preserve">The shared inbox and a private browser window</t>
        </is>
      </c>
      <c r="J8" s="1">
        <v>15</v>
      </c>
    </row>
    <row r="9" ht="84" customHeight="1">
      <c r="A9" s="12" t="inlineStr">
        <is>
          <t xml:space="preserve">M05 Sign-in and account security</t>
        </is>
      </c>
      <c r="B9" s="1" t="inlineStr">
        <is>
          <t xml:space="preserve">2. Build the team</t>
        </is>
      </c>
      <c r="C9" s="1" t="inlineStr">
        <is>
          <t xml:space="preserve">Prove sign-in, password reset and the second factor protect an account</t>
        </is>
      </c>
      <c r="D9" s="1" t="inlineStr">
        <is>
          <t xml:space="preserve">/sign-in, /forgot-password, /reset-password, /backup-code, Account, Security</t>
        </is>
      </c>
      <c r="E9" s="1" t="inlineStr">
        <is>
          <t xml:space="preserve">Jonas, Mei, Amara, Sara, Priya</t>
        </is>
      </c>
      <c r="F9" s="1" t="inlineStr">
        <is>
          <t xml:space="preserve">1. Refuse a wrong password
2. Reset a forgotten password by mail
3. Turn on one-time codes for Amara
4. Sign in with a code and with a backup code
5. Add a passkey
6. Revoke another device</t>
        </is>
      </c>
      <c r="G9" s="1" t="inlineStr">
        <is>
          <t xml:space="preserve">M02</t>
        </is>
      </c>
      <c r="H9" s="1" t="inlineStr">
        <is>
          <t xml:space="preserve">Confidence that accounts are safe before real data goes in</t>
        </is>
      </c>
      <c r="I9" s="1" t="inlineStr">
        <is>
          <t xml:space="preserve">Mailpit or SMTP for the reset mail. An authenticator app</t>
        </is>
      </c>
      <c r="J9" s="1">
        <v>30</v>
      </c>
    </row>
    <row r="10" ht="71" customHeight="1">
      <c r="A10" s="12" t="inlineStr">
        <is>
          <t xml:space="preserve">M06 People and org chart</t>
        </is>
      </c>
      <c r="B10" s="1" t="inlineStr">
        <is>
          <t xml:space="preserve">2. Build the team</t>
        </is>
      </c>
      <c r="C10" s="1" t="inlineStr">
        <is>
          <t xml:space="preserve">Give everyone a title and a manager so the org chart is real</t>
        </is>
      </c>
      <c r="D10" s="1" t="inlineStr">
        <is>
          <t xml:space="preserve">People, People / &lt;person&gt;</t>
        </is>
      </c>
      <c r="E10" s="1" t="inlineStr">
        <is>
          <t xml:space="preserve">Admin, Mei, Jonas, Tomas</t>
        </is>
      </c>
      <c r="F10" s="1" t="inlineStr">
        <is>
          <t xml:space="preserve">1. Admin sets title and manager for each persona
2. Check the org chart
3. A loop in the chain is refused
4. Members edit only their own profile
5. Suspend and restore Tomas</t>
        </is>
      </c>
      <c r="G10" s="1" t="inlineStr">
        <is>
          <t xml:space="preserve">M02</t>
        </is>
      </c>
      <c r="H10" s="1" t="inlineStr">
        <is>
          <t xml:space="preserve">Reporting lines, used by the org chart and by who reviews whom</t>
        </is>
      </c>
      <c r="I10" s="1" t="inlineStr">
        <is>
          <t xml:space="preserve">Nothing extra</t>
        </is>
      </c>
      <c r="J10" s="1">
        <v>20</v>
      </c>
    </row>
    <row r="11" ht="71" customHeight="1">
      <c r="A11" s="12" t="inlineStr">
        <is>
          <t xml:space="preserve">M07 Spaces</t>
        </is>
      </c>
      <c r="B11" s="1" t="inlineStr">
        <is>
          <t xml:space="preserve">2. Build the team</t>
        </is>
      </c>
      <c r="C11" s="1" t="inlineStr">
        <is>
          <t xml:space="preserve">Create the team homes that own goals, boards and sessions</t>
        </is>
      </c>
      <c r="D11" s="1" t="inlineStr">
        <is>
          <t xml:space="preserve">Spaces, Spaces / &lt;space&gt;</t>
        </is>
      </c>
      <c r="E11" s="1" t="inlineStr">
        <is>
          <t xml:space="preserve">Admin, Priya, Amara, Jonas</t>
        </is>
      </c>
      <c r="F11" s="1" t="inlineStr">
        <is>
          <t xml:space="preserve">1. Admin creates Product, Sales and Customer Success
2. Priya adds members with roles
3. A member joins and leaves
4. A non-manager cannot manage
5. Change settings, archive a spare space</t>
        </is>
      </c>
      <c r="G11" s="1" t="inlineStr">
        <is>
          <t xml:space="preserve">M06</t>
        </is>
      </c>
      <c r="H11" s="1" t="inlineStr">
        <is>
          <t xml:space="preserve">Spaces that goals, the board and the weekly session belong to</t>
        </is>
      </c>
      <c r="I11" s="1" t="inlineStr">
        <is>
          <t xml:space="preserve">Nothing extra</t>
        </is>
      </c>
      <c r="J11" s="1">
        <v>20</v>
      </c>
    </row>
    <row r="12" ht="84" customHeight="1">
      <c r="A12" s="12" t="inlineStr">
        <is>
          <t xml:space="preserve">M08 Cycle: prepare, diagnose, direction</t>
        </is>
      </c>
      <c r="B12" s="1" t="inlineStr">
        <is>
          <t xml:space="preserve">3. Plan the cycle</t>
        </is>
      </c>
      <c r="C12" s="1" t="inlineStr">
        <is>
          <t xml:space="preserve">Walk the first three phases so drafting has something to stand on</t>
        </is>
      </c>
      <c r="D12" s="1" t="inlineStr">
        <is>
          <t xml:space="preserve">Cycle (phases 1 to 3), Cycles card</t>
        </is>
      </c>
      <c r="E12" s="1" t="inlineStr">
        <is>
          <t xml:space="preserve">Admin, Priya</t>
        </is>
      </c>
      <c r="F12" s="1" t="inlineStr">
        <is>
          <t xml:space="preserve">1. Read the eight-phase rail
2. Create the next cycle and set the publication deadline
3. Phase 1: sponsor, facilitator, input pack
4. Phase 2: rank three strategic issues
5. Phase 3: choose a priority</t>
        </is>
      </c>
      <c r="G12" s="1" t="inlineStr">
        <is>
          <t xml:space="preserve">M07</t>
        </is>
      </c>
      <c r="H12" s="1" t="inlineStr">
        <is>
          <t xml:space="preserve">A priority for objectives to contribute to, and the deadline gate 6 checks</t>
        </is>
      </c>
      <c r="I12" s="1" t="inlineStr">
        <is>
          <t xml:space="preserve">Nothing extra</t>
        </is>
      </c>
      <c r="J12" s="1">
        <v>25</v>
      </c>
    </row>
    <row r="13" ht="84" customHeight="1">
      <c r="A13" s="12" t="inlineStr">
        <is>
          <t xml:space="preserve">M09 Drafting OKRs and quality checks</t>
        </is>
      </c>
      <c r="B13" s="1" t="inlineStr">
        <is>
          <t xml:space="preserve">3. Plan the cycle</t>
        </is>
      </c>
      <c r="C13" s="1" t="inlineStr">
        <is>
          <t xml:space="preserve">Draft objectives and key results while the quality checks fire live</t>
        </is>
      </c>
      <c r="D13" s="1" t="inlineStr">
        <is>
          <t xml:space="preserve">Cycle, phase 4; /method/&lt;rule&gt;</t>
        </is>
      </c>
      <c r="E13" s="1" t="inlineStr">
        <is>
          <t xml:space="preserve">Sara, Daniel, Tomas</t>
        </is>
      </c>
      <c r="F13" s="1" t="inlineStr">
        <is>
          <t xml:space="preserve">1. Draft Sara's objective with champion and reviewer
2. Type weak wording and watch OBJ-1 and OBJ-2 fire
3. Open a rule card and the method page
4. Add key results, weak then measurable
5. Record a current value
6. Daniel and Tomas draft their own</t>
        </is>
      </c>
      <c r="G13" s="1" t="inlineStr">
        <is>
          <t xml:space="preserve">M08</t>
        </is>
      </c>
      <c r="H13" s="1" t="inlineStr">
        <is>
          <t xml:space="preserve">A draft set of objectives for three teams</t>
        </is>
      </c>
      <c r="I13" s="1" t="inlineStr">
        <is>
          <t xml:space="preserve">AI off</t>
        </is>
      </c>
      <c r="J13" s="1">
        <v>40</v>
      </c>
    </row>
    <row r="14" ht="97" customHeight="1">
      <c r="A14" s="12" t="inlineStr">
        <is>
          <t xml:space="preserve">M10 Goal page and documents</t>
        </is>
      </c>
      <c r="B14" s="1" t="inlineStr">
        <is>
          <t xml:space="preserve">3. Plan the cycle</t>
        </is>
      </c>
      <c r="C14" s="1" t="inlineStr">
        <is>
          <t xml:space="preserve">Work on one goal: values, confidence, comments, documents and files</t>
        </is>
      </c>
      <c r="D14" s="1" t="inlineStr">
        <is>
          <t xml:space="preserve">Goals, Goals / &lt;goal&gt;, Documents / &lt;doc&gt;</t>
        </is>
      </c>
      <c r="E14" s="1" t="inlineStr">
        <is>
          <t xml:space="preserve">Sara, Priya, Mei, Jonas</t>
        </is>
      </c>
      <c r="F14" s="1" t="inlineStr">
        <is>
          <t xml:space="preserve">1. Open the goal and read its header
2. Update values and confidence
3. Comment and watch
4. Start a private document, then publish two versions
5. Attach and detach a file
6. Filter the explorer</t>
        </is>
      </c>
      <c r="G14" s="1" t="inlineStr">
        <is>
          <t xml:space="preserve">M09</t>
        </is>
      </c>
      <c r="H14" s="1" t="inlineStr">
        <is>
          <t xml:space="preserve">A goal with history, discussion and a document</t>
        </is>
      </c>
      <c r="I14" s="1" t="inlineStr">
        <is>
          <t xml:space="preserve">A small PDF to attach</t>
        </is>
      </c>
      <c r="J14" s="1">
        <v>30</v>
      </c>
    </row>
    <row r="15" ht="84" customHeight="1">
      <c r="A15" s="12" t="inlineStr">
        <is>
          <t xml:space="preserve">M11 Alignment and publishing</t>
        </is>
      </c>
      <c r="B15" s="1" t="inlineStr">
        <is>
          <t xml:space="preserve">3. Plan the cycle</t>
        </is>
      </c>
      <c r="C15" s="1" t="inlineStr">
        <is>
          <t xml:space="preserve">Align the set and publish it through the six gates</t>
        </is>
      </c>
      <c r="D15" s="1" t="inlineStr">
        <is>
          <t xml:space="preserve">Goals, Alignment studio; Cycle, phase 5</t>
        </is>
      </c>
      <c r="E15" s="1" t="inlineStr">
        <is>
          <t xml:space="preserve">Priya, Admin</t>
        </is>
      </c>
      <c r="F15" s="1" t="inlineStr">
        <is>
          <t xml:space="preserve">1. Look at the cascade
2. Link a team goal to the company goal
3. Record and confirm a dependency
4. Read each gate and follow its fix
5. Publish, or override with a reason
6. Check a member cannot publish</t>
        </is>
      </c>
      <c r="G15" s="1" t="inlineStr">
        <is>
          <t xml:space="preserve">M10</t>
        </is>
      </c>
      <c r="H15" s="1" t="inlineStr">
        <is>
          <t xml:space="preserve">A published set. The cycle moves to phase 6 and check-ins start</t>
        </is>
      </c>
      <c r="I15" s="1" t="inlineStr">
        <is>
          <t xml:space="preserve">Nothing extra</t>
        </is>
      </c>
      <c r="J15" s="1">
        <v>30</v>
      </c>
    </row>
    <row r="16" ht="84" customHeight="1">
      <c r="A16" s="12" t="inlineStr">
        <is>
          <t xml:space="preserve">M12 KPIs and recovery</t>
        </is>
      </c>
      <c r="B16" s="1" t="inlineStr">
        <is>
          <t xml:space="preserve">4. Run the cycle</t>
        </is>
      </c>
      <c r="C16" s="1" t="inlineStr">
        <is>
          <t xml:space="preserve">Track KPIs continuously and recover one that falls out of its corridor</t>
        </is>
      </c>
      <c r="D16" s="1" t="inlineStr">
        <is>
          <t xml:space="preserve">KPIs grid, KPIs / &lt;kpi&gt;, Trees, Recovery board</t>
        </is>
      </c>
      <c r="E16" s="1" t="inlineStr">
        <is>
          <t xml:space="preserve">Priya, Admin</t>
        </is>
      </c>
      <c r="F16" s="1" t="inlineStr">
        <is>
          <t xml:space="preserve">1. Add a KPI
2. Enter values and watch green, amber and red
3. Build a formula and a tree
4. Let a KPI drop to red
5. Launch a recovery objective
6. Move a threshold and see colours change</t>
        </is>
      </c>
      <c r="G16" s="1" t="inlineStr">
        <is>
          <t xml:space="preserve">M11</t>
        </is>
      </c>
      <c r="H16" s="1" t="inlineStr">
        <is>
          <t xml:space="preserve">A recovering KPI with its own objective</t>
        </is>
      </c>
      <c r="I16" s="1" t="inlineStr">
        <is>
          <t xml:space="preserve">Nothing extra</t>
        </is>
      </c>
      <c r="J16" s="1">
        <v>30</v>
      </c>
    </row>
    <row r="17" ht="84" customHeight="1">
      <c r="A17" s="12" t="inlineStr">
        <is>
          <t xml:space="preserve">M13 Initiatives, board and tasks</t>
        </is>
      </c>
      <c r="B17" s="1" t="inlineStr">
        <is>
          <t xml:space="preserve">4. Run the cycle</t>
        </is>
      </c>
      <c r="C17" s="1" t="inlineStr">
        <is>
          <t xml:space="preserve">Plan the work behind key results and move it on the board</t>
        </is>
      </c>
      <c r="D17" s="1" t="inlineStr">
        <is>
          <t xml:space="preserve">Initiatives, Initiatives / &lt;one&gt;, Board, Tasks / &lt;task&gt;</t>
        </is>
      </c>
      <c r="E17" s="1" t="inlineStr">
        <is>
          <t xml:space="preserve">Mei, Sara, Priya, Admin</t>
        </is>
      </c>
      <c r="F17" s="1" t="inlineStr">
        <is>
          <t xml:space="preserve">1. Add an initiative and link it to a key result
2. Add tasks on the board
3. Drag cards between columns
4. Watch a second browser update live
5. Break a task into a checklist
6. See the warning when done work moves nothing</t>
        </is>
      </c>
      <c r="G17" s="1" t="inlineStr">
        <is>
          <t xml:space="preserve">M11</t>
        </is>
      </c>
      <c r="H17" s="1" t="inlineStr">
        <is>
          <t xml:space="preserve">Work linked to key results, which the weekly session reads</t>
        </is>
      </c>
      <c r="I17" s="1" t="inlineStr">
        <is>
          <t xml:space="preserve">Two browsers side by side</t>
        </is>
      </c>
      <c r="J17" s="1">
        <v>30</v>
      </c>
    </row>
    <row r="18" ht="97" customHeight="1">
      <c r="A18" s="12" t="inlineStr">
        <is>
          <t xml:space="preserve">M14 Check-in, review and inbox</t>
        </is>
      </c>
      <c r="B18" s="1" t="inlineStr">
        <is>
          <t xml:space="preserve">4. Run the cycle</t>
        </is>
      </c>
      <c r="C18" s="1" t="inlineStr">
        <is>
          <t xml:space="preserve">Report progress every week and have the reviewer acknowledge it</t>
        </is>
      </c>
      <c r="D18" s="1" t="inlineStr">
        <is>
          <t xml:space="preserve">Check in, Review, Inbox</t>
        </is>
      </c>
      <c r="E18" s="1" t="inlineStr">
        <is>
          <t xml:space="preserve">Sara, Priya, Mei, Jonas</t>
        </is>
      </c>
      <c r="F18" s="1" t="inlineStr">
        <is>
          <t xml:space="preserve">1. Sara opens what is due
2. A check-in without a narrative is refused
3. Sara posts one
4. Others cannot post or acknowledge
5. Priya acknowledges from Review
6. Inbox: read, snooze, mute
7. A stale goal turns Outdated</t>
        </is>
      </c>
      <c r="G18" s="1" t="inlineStr">
        <is>
          <t xml:space="preserve">M11</t>
        </is>
      </c>
      <c r="H18" s="1" t="inlineStr">
        <is>
          <t xml:space="preserve">Check-ins and confidence the weekly session starts from</t>
        </is>
      </c>
      <c r="I18" s="1" t="inlineStr">
        <is>
          <t xml:space="preserve">Check-in frequency set to daily so a goal is due today</t>
        </is>
      </c>
      <c r="J18" s="1">
        <v>30</v>
      </c>
    </row>
    <row r="19" ht="84" customHeight="1">
      <c r="A19" s="12" t="inlineStr">
        <is>
          <t xml:space="preserve">M15 Weekly session</t>
        </is>
      </c>
      <c r="B19" s="1" t="inlineStr">
        <is>
          <t xml:space="preserve">4. Run the cycle</t>
        </is>
      </c>
      <c r="C19" s="1" t="inlineStr">
        <is>
          <t xml:space="preserve">Run the four-step weekly session the product facilitates</t>
        </is>
      </c>
      <c r="D19" s="1" t="inlineStr">
        <is>
          <t xml:space="preserve">Sessions, Session / &lt;id&gt;</t>
        </is>
      </c>
      <c r="E19" s="1" t="inlineStr">
        <is>
          <t xml:space="preserve">Admin (facilitator), Priya, Sara, Mei</t>
        </is>
      </c>
      <c r="F19" s="1" t="inlineStr">
        <is>
          <t xml:space="preserve">1. Start the template's weekly session
2. Confidence round: vote, reveal, confirm
3. A low key result needs a blocker
4. Resolve and reassign the blocker
5. Set two or three commitments
6. Digest and close</t>
        </is>
      </c>
      <c r="G19" s="1" t="inlineStr">
        <is>
          <t xml:space="preserve">M14</t>
        </is>
      </c>
      <c r="H19" s="1" t="inlineStr">
        <is>
          <t xml:space="preserve">A finished session with blockers and commitments on record</t>
        </is>
      </c>
      <c r="I19" s="1" t="inlineStr">
        <is>
          <t xml:space="preserve">Priya and Sara are members of the session's space</t>
        </is>
      </c>
      <c r="J19" s="1">
        <v>30</v>
      </c>
    </row>
    <row r="20" ht="84" customHeight="1">
      <c r="A20" s="12" t="inlineStr">
        <is>
          <t xml:space="preserve">M16 Agents and nudges</t>
        </is>
      </c>
      <c r="B20" s="1" t="inlineStr">
        <is>
          <t xml:space="preserve">4. Run the cycle</t>
        </is>
      </c>
      <c r="C20" s="1" t="inlineStr">
        <is>
          <t xml:space="preserve">Check the two agents nudge, propose and stay quiet when they should</t>
        </is>
      </c>
      <c r="D20" s="1" t="inlineStr">
        <is>
          <t xml:space="preserve">Admin: Agents and runs, Nudge volume; Account, Where to reach you</t>
        </is>
      </c>
      <c r="E20" s="1" t="inlineStr">
        <is>
          <t xml:space="preserve">Admin, Sara</t>
        </is>
      </c>
      <c r="F20" s="1" t="inlineStr">
        <is>
          <t xml:space="preserve">1. Confirm both agents propose by default
2. Run the Champion and the Coach now
3. Apply and dismiss proposals
4. Try sandbox and direct write
5. A nudge reaches Sara once a day only
6. Quiet hours and a switched-off rule hold nudges</t>
        </is>
      </c>
      <c r="G20" s="1" t="inlineStr">
        <is>
          <t xml:space="preserve">M14</t>
        </is>
      </c>
      <c r="H20" s="1" t="inlineStr">
        <is>
          <t xml:space="preserve">Proof the agents are safe with AI off</t>
        </is>
      </c>
      <c r="I20" s="1" t="inlineStr">
        <is>
          <t xml:space="preserve">Nothing extra</t>
        </is>
      </c>
      <c r="J20" s="1">
        <v>30</v>
      </c>
    </row>
    <row r="21" ht="84" customHeight="1">
      <c r="A21" s="12" t="inlineStr">
        <is>
          <t xml:space="preserve">M17 Work map, search and activity</t>
        </is>
      </c>
      <c r="B21" s="1" t="inlineStr">
        <is>
          <t xml:space="preserve">5. Close and check</t>
        </is>
      </c>
      <c r="C21" s="1" t="inlineStr">
        <is>
          <t xml:space="preserve">Check the overview screens, search and basic usability</t>
        </is>
      </c>
      <c r="D21" s="1" t="inlineStr">
        <is>
          <t xml:space="preserve">Work map, Search, Activity, copilot panel</t>
        </is>
      </c>
      <c r="E21" s="1" t="inlineStr">
        <is>
          <t xml:space="preserve">Priya, Jonas, Admin, Sara</t>
        </is>
      </c>
      <c r="F21" s="1" t="inlineStr">
        <is>
          <t xml:space="preserve">1. Read the work map strip and table
2. Search finds only what you may open
3. Page through Activity
4. Open the copilot with AI off
5. Check in with the keyboard only
6. Use the app at phone width</t>
        </is>
      </c>
      <c r="G21" s="1" t="inlineStr">
        <is>
          <t xml:space="preserve">M15</t>
        </is>
      </c>
      <c r="H21" s="1" t="inlineStr">
        <is>
          <t xml:space="preserve">A read of the whole workspace as a member sees it</t>
        </is>
      </c>
      <c r="I21" s="1" t="inlineStr">
        <is>
          <t xml:space="preserve">A phone, or a 375px browser window</t>
        </is>
      </c>
      <c r="J21" s="1">
        <v>20</v>
      </c>
    </row>
    <row r="22" ht="110" customHeight="1">
      <c r="A22" s="12" t="inlineStr">
        <is>
          <t xml:space="preserve">M18 Closing the cycle and scorecard</t>
        </is>
      </c>
      <c r="B22" s="1" t="inlineStr">
        <is>
          <t xml:space="preserve">5. Close and check</t>
        </is>
      </c>
      <c r="C22" s="1" t="inlineStr">
        <is>
          <t xml:space="preserve">Close goals and the quarter, and record the result</t>
        </is>
      </c>
      <c r="D22" s="1" t="inlineStr">
        <is>
          <t xml:space="preserve">Goals / &lt;goal&gt;, Cycle phase 7, Scorecard, Cycles card</t>
        </is>
      </c>
      <c r="E22" s="1" t="inlineStr">
        <is>
          <t xml:space="preserve">Sara, Admin</t>
        </is>
      </c>
      <c r="F22" s="1" t="inlineStr">
        <is>
          <t xml:space="preserve">1. Closing a goal needs a retrospective
2. Close and reopen a goal
3. Score every key result and close the cycle in phase 7
4. See the result on the scorecard and the inheritance in the next quarter
5. Archive the old cycle
6. Look for the quarterly review</t>
        </is>
      </c>
      <c r="G22" s="1" t="inlineStr">
        <is>
          <t xml:space="preserve">M15</t>
        </is>
      </c>
      <c r="H22" s="1" t="inlineStr">
        <is>
          <t xml:space="preserve">A closed cycle and a scorecard row</t>
        </is>
      </c>
      <c r="I22" s="1" t="inlineStr">
        <is>
          <t xml:space="preserve">Nothing extra</t>
        </is>
      </c>
      <c r="J22" s="1">
        <v>25</v>
      </c>
    </row>
    <row r="23" ht="71" customHeight="1">
      <c r="A23" s="12" t="inlineStr">
        <is>
          <t xml:space="preserve">M19 Access and permissions</t>
        </is>
      </c>
      <c r="B23" s="1" t="inlineStr">
        <is>
          <t xml:space="preserve">5. Close and check</t>
        </is>
      </c>
      <c r="C23" s="1" t="inlineStr">
        <is>
          <t xml:space="preserve">Check nobody sees or does more than their access allows</t>
        </is>
      </c>
      <c r="D23" s="1" t="inlineStr">
        <is>
          <t xml:space="preserve">Admin screens, any goal URL, People / &lt;person&gt;</t>
        </is>
      </c>
      <c r="E23" s="1" t="inlineStr">
        <is>
          <t xml:space="preserve">Jonas, Amara, Admin</t>
        </is>
      </c>
      <c r="F23" s="1" t="inlineStr">
        <is>
          <t xml:space="preserve">1. A member opening Admin gets Not Found
2. Signed-out visitors go to sign-in
3. A hidden goal reads as not found
4. Convert a member to a guest
5. Erase a spare member</t>
        </is>
      </c>
      <c r="G23" s="1" t="inlineStr">
        <is>
          <t xml:space="preserve">M11</t>
        </is>
      </c>
      <c r="H23" s="1" t="inlineStr">
        <is>
          <t xml:space="preserve">Access control checked from the outside</t>
        </is>
      </c>
      <c r="I23" s="1" t="inlineStr">
        <is>
          <t xml:space="preserve">One spare invited account for erasing</t>
        </is>
      </c>
      <c r="J23" s="1">
        <v>15</v>
      </c>
    </row>
    <row r="24" ht="84" customHeight="1">
      <c r="A24" s="12" t="inlineStr">
        <is>
          <t xml:space="preserve">M20 AI provider and copilot</t>
        </is>
      </c>
      <c r="B24" s="1" t="inlineStr">
        <is>
          <t xml:space="preserve">6. Integrations</t>
        </is>
      </c>
      <c r="C24" s="1" t="inlineStr">
        <is>
          <t xml:space="preserve">Turn AI on and check it drafts while a person decides</t>
        </is>
      </c>
      <c r="D24" s="1" t="inlineStr">
        <is>
          <t xml:space="preserve">Admin, AI; drafting surface; copilot</t>
        </is>
      </c>
      <c r="E24" s="1" t="inlineStr">
        <is>
          <t xml:space="preserve">Admin, Sara, Jonas</t>
        </is>
      </c>
      <c r="F24" s="1" t="inlineStr">
        <is>
          <t xml:space="preserve">1. Store a provider key
2. A bad key is marked invalid
3. AI buttons appear
4. A draft is proposed, not saved
5. The copilot answers with sources
6. Remove the key and the rules still fire</t>
        </is>
      </c>
      <c r="G24" s="1" t="inlineStr">
        <is>
          <t xml:space="preserve">M11</t>
        </is>
      </c>
      <c r="H24" s="1" t="inlineStr">
        <is>
          <t xml:space="preserve">AI checked on and off</t>
        </is>
      </c>
      <c r="I24" s="1" t="inlineStr">
        <is>
          <t xml:space="preserve">A provider key with a spending limit</t>
        </is>
      </c>
      <c r="J24" s="1">
        <v>30</v>
      </c>
    </row>
    <row r="25" ht="84" customHeight="1">
      <c r="A25" s="12" t="inlineStr">
        <is>
          <t xml:space="preserve">M21 Chat channels and email</t>
        </is>
      </c>
      <c r="B25" s="1" t="inlineStr">
        <is>
          <t xml:space="preserve">6. Integrations</t>
        </is>
      </c>
      <c r="C25" s="1" t="inlineStr">
        <is>
          <t xml:space="preserve">Deliver mail and chat messages to real inboxes and apps</t>
        </is>
      </c>
      <c r="D25" s="1" t="inlineStr">
        <is>
          <t xml:space="preserve">Admin, Channels; Account, Where to reach you</t>
        </is>
      </c>
      <c r="E25" s="1" t="inlineStr">
        <is>
          <t xml:space="preserve">Admin, Sara, Jonas</t>
        </is>
      </c>
      <c r="F25" s="1" t="inlineStr">
        <is>
          <t xml:space="preserve">1. Real mail arrives
2. Connect Slack and link Sara
3. A nudge arrives in Slack
4. Chat commands work
5. Repeat for Teams, WhatsApp, Telegram
6. Disconnect a channel</t>
        </is>
      </c>
      <c r="G25" s="1" t="inlineStr">
        <is>
          <t xml:space="preserve">M16</t>
        </is>
      </c>
      <c r="H25" s="1" t="inlineStr">
        <is>
          <t xml:space="preserve">Proof that reminders leave the product</t>
        </is>
      </c>
      <c r="I25" s="1" t="inlineStr">
        <is>
          <t xml:space="preserve">SMTP or Mailpit. A public URL and an app per chat provider</t>
        </is>
      </c>
      <c r="J25" s="1">
        <v>60</v>
      </c>
    </row>
    <row r="26" ht="84" customHeight="1">
      <c r="A26" s="12" t="inlineStr">
        <is>
          <t xml:space="preserve">M22 Single sign-on and directory sync</t>
        </is>
      </c>
      <c r="B26" s="1" t="inlineStr">
        <is>
          <t xml:space="preserve">6. Integrations</t>
        </is>
      </c>
      <c r="C26" s="1" t="inlineStr">
        <is>
          <t xml:space="preserve">Sign in through a company identity provider and sync the directory</t>
        </is>
      </c>
      <c r="D26" s="1" t="inlineStr">
        <is>
          <t xml:space="preserve">Admin: Single sign-on, Directory sync, General</t>
        </is>
      </c>
      <c r="E26" s="1" t="inlineStr">
        <is>
          <t xml:space="preserve">Admin, Jonas</t>
        </is>
      </c>
      <c r="F26" s="1" t="inlineStr">
        <is>
          <t xml:space="preserve">1. Add an OIDC provider and restart
2. Sign in with it
3. Enforce SSO for a domain
4. Try SAML
5. Push a user through SCIM
6. Require a second factor for everyone</t>
        </is>
      </c>
      <c r="G26" s="1" t="inlineStr">
        <is>
          <t xml:space="preserve">M04</t>
        </is>
      </c>
      <c r="H26" s="1" t="inlineStr">
        <is>
          <t xml:space="preserve">Company sign-in checked</t>
        </is>
      </c>
      <c r="I26" s="1" t="inlineStr">
        <is>
          <t xml:space="preserve">An identity provider account. Server access to restart</t>
        </is>
      </c>
      <c r="J26" s="1">
        <v>45</v>
      </c>
    </row>
    <row r="27" ht="84" customHeight="1">
      <c r="A27" s="12" t="inlineStr">
        <is>
          <t xml:space="preserve">M23 Import and export</t>
        </is>
      </c>
      <c r="B27" s="1" t="inlineStr">
        <is>
          <t xml:space="preserve">6. Integrations</t>
        </is>
      </c>
      <c r="C27" s="1" t="inlineStr">
        <is>
          <t xml:space="preserve">Bring data in from spreadsheets and FlowyTeam, and take it out</t>
        </is>
      </c>
      <c r="D27" s="1" t="inlineStr">
        <is>
          <t xml:space="preserve">Admin, Import</t>
        </is>
      </c>
      <c r="E27" s="1" t="inlineStr">
        <is>
          <t xml:space="preserve">Admin</t>
        </is>
      </c>
      <c r="F27" s="1" t="inlineStr">
        <is>
          <t xml:space="preserve">1. Import goals from CSV
2. Import the same file again: nothing new
3. A bad row is reported
4. Import KPI records from xlsx
5. Export the workspace
6. FlowyTeam import from the command line</t>
        </is>
      </c>
      <c r="G27" s="1" t="inlineStr">
        <is>
          <t xml:space="preserve">M07</t>
        </is>
      </c>
      <c r="H27" s="1" t="inlineStr">
        <is>
          <t xml:space="preserve">Import and export checked</t>
        </is>
      </c>
      <c r="I27" s="1" t="inlineStr">
        <is>
          <t xml:space="preserve">Sample CSV and xlsx files. A FlowyTeam MySQL copy for the last case</t>
        </is>
      </c>
      <c r="J27" s="1">
        <v>30</v>
      </c>
    </row>
    <row r="28" ht="71" customHeight="1">
      <c r="A28" s="12" t="inlineStr">
        <is>
          <t xml:space="preserve">M24 API tokens, CLI and external agents</t>
        </is>
      </c>
      <c r="B28" s="1" t="inlineStr">
        <is>
          <t xml:space="preserve">6. Integrations</t>
        </is>
      </c>
      <c r="C28" s="1" t="inlineStr">
        <is>
          <t xml:space="preserve">Reach the product from scripts, the command line and outside AI agents</t>
        </is>
      </c>
      <c r="D28" s="1" t="inlineStr">
        <is>
          <t xml:space="preserve">Account: API tokens, Device, Connected agents; /oauth/authorize</t>
        </is>
      </c>
      <c r="E28" s="1" t="inlineStr">
        <is>
          <t xml:space="preserve">Sara</t>
        </is>
      </c>
      <c r="F28" s="1" t="inlineStr">
        <is>
          <t xml:space="preserve">1. Create and revoke a token
2. Call the API with it
3. Log the command line in by device approval
4. Connect an MCP agent and ask it for goals
5. Revoke the agent</t>
        </is>
      </c>
      <c r="G28" s="1" t="inlineStr">
        <is>
          <t xml:space="preserve">M11</t>
        </is>
      </c>
      <c r="H28" s="1" t="inlineStr">
        <is>
          <t xml:space="preserve">The outside surfaces checked</t>
        </is>
      </c>
      <c r="I28" s="1" t="inlineStr">
        <is>
          <t xml:space="preserve">The okr command line. An MCP client. A public HTTPS URL</t>
        </is>
      </c>
      <c r="J28" s="1">
        <v>30</v>
      </c>
    </row>
    <row r="29" ht="58" customHeight="1">
      <c r="A29" s="12" t="inlineStr">
        <is>
          <t xml:space="preserve">M25 Audit trail and workspace state</t>
        </is>
      </c>
      <c r="B29" s="1" t="inlineStr">
        <is>
          <t xml:space="preserve">6. Integrations</t>
        </is>
      </c>
      <c r="C29" s="1" t="inlineStr">
        <is>
          <t xml:space="preserve">Check the audit trail recorded the sensitive actions from earlier modules</t>
        </is>
      </c>
      <c r="D29" s="1" t="inlineStr">
        <is>
          <t xml:space="preserve">Admin, Audit trail; Admin, General, State</t>
        </is>
      </c>
      <c r="E29" s="1" t="inlineStr">
        <is>
          <t xml:space="preserve">Admin, Sara</t>
        </is>
      </c>
      <c r="F29" s="1" t="inlineStr">
        <is>
          <t xml:space="preserve">1. Find the suspend and the publish override
2. Verify the chain
3. Export a date range
4. Set the workspace read only, then active again</t>
        </is>
      </c>
      <c r="G29" s="1" t="inlineStr">
        <is>
          <t xml:space="preserve">M11</t>
        </is>
      </c>
      <c r="H29" s="1" t="inlineStr">
        <is>
          <t xml:space="preserve">A verified audit trail</t>
        </is>
      </c>
      <c r="I29" s="1" t="inlineStr">
        <is>
          <t xml:space="preserve">Nothing extra</t>
        </is>
      </c>
      <c r="J29" s="1">
        <v>15</v>
      </c>
    </row>
    <row r="30" ht="71" customHeight="1">
      <c r="A30" s="12" t="inlineStr">
        <is>
          <t xml:space="preserve">M26 Cloud operator console</t>
        </is>
      </c>
      <c r="B30" s="1" t="inlineStr">
        <is>
          <t xml:space="preserve">6. Integrations</t>
        </is>
      </c>
      <c r="C30" s="1" t="inlineStr">
        <is>
          <t xml:space="preserve">Check the managed-cloud operator console</t>
        </is>
      </c>
      <c r="D30" s="1" t="inlineStr">
        <is>
          <t xml:space="preserve">/operator, /operator/&lt;workspace&gt;, /operator/instance, Admin, Support access</t>
        </is>
      </c>
      <c r="E30" s="1" t="inlineStr">
        <is>
          <t xml:space="preserve">Operator, Admin, Sara</t>
        </is>
      </c>
      <c r="F30" s="1" t="inlineStr">
        <is>
          <t xml:space="preserve">1. Console is hidden on self-hosted
2. Operator lists workspaces
3. Suspend and restore a workspace
4. Ask for and approve support access
5. Show an instance banner</t>
        </is>
      </c>
      <c r="G30" s="1" t="inlineStr">
        <is>
          <t xml:space="preserve">M04</t>
        </is>
      </c>
      <c r="H30" s="1" t="inlineStr">
        <is>
          <t xml:space="preserve">Cloud operations checked</t>
        </is>
      </c>
      <c r="I30" s="1" t="inlineStr">
        <is>
          <t xml:space="preserve">OPENOKR_CLOUD=true and an operator granted with pnpm cloud:operator</t>
        </is>
      </c>
      <c r="J30" s="1">
        <v>30</v>
      </c>
    </row>
    <row r="31">
      <c r="A31" s="7" t="inlineStr">
        <is>
          <t xml:space="preserve">Total time</t>
        </is>
      </c>
      <c r="B31" s="7"/>
      <c r="C31" s="7"/>
      <c r="D31" s="7"/>
      <c r="E31" s="7"/>
      <c r="F31" s="7"/>
      <c r="G31" s="7"/>
      <c r="H31" s="7"/>
      <c r="I31" s="7"/>
      <c r="J31" s="7">
        <f>SUM(J5:J30)</f>
      </c>
    </row>
  </sheetData>
  <mergeCells count="1">
    <mergeCell ref="A2:J2"/>
  </mergeCells>
  <pageMargins left="0.4" right="0.4" top="0.5" bottom="0.5"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Views>
    <sheetView workbookViewId="0" showGridLines="0"/>
  </sheetViews>
  <cols>
    <col min="1" max="1" width="40" customWidth="1"/>
    <col min="2" max="2" width="9" customWidth="1"/>
    <col min="3" max="3" width="9" customWidth="1"/>
    <col min="4" max="4" width="9" customWidth="1"/>
    <col min="5" max="5" width="9" customWidth="1"/>
    <col min="6" max="6" width="9" customWidth="1"/>
    <col min="7" max="7" width="9" customWidth="1"/>
    <col min="8" max="8" width="9" customWidth="1"/>
    <col min="9" max="9" width="10" customWidth="1"/>
    <col min="10" max="10" width="11" customWidth="1"/>
  </cols>
  <sheetData>
    <row r="1" ht="26" customHeight="1">
      <c r="A1" s="4" t="inlineStr">
        <is>
          <t xml:space="preserve">Test summary</t>
        </is>
      </c>
    </row>
    <row r="2">
      <c r="A2" s="10" t="inlineStr">
        <is>
          <t xml:space="preserve">Every number below is a formula over the Test Cases sheet. Set the Status column there and this page updates.</t>
        </is>
      </c>
    </row>
    <row r="3"/>
    <row r="4" ht="22" customHeight="1">
      <c r="A4" s="2" t="inlineStr">
        <is>
          <t xml:space="preserve">Module</t>
        </is>
      </c>
      <c r="B4" s="2" t="inlineStr">
        <is>
          <t xml:space="preserve">Cases</t>
        </is>
      </c>
      <c r="C4" s="2" t="inlineStr">
        <is>
          <t xml:space="preserve">Pass</t>
        </is>
      </c>
      <c r="D4" s="2" t="inlineStr">
        <is>
          <t xml:space="preserve">Fail</t>
        </is>
      </c>
      <c r="E4" s="2" t="inlineStr">
        <is>
          <t xml:space="preserve">Error</t>
        </is>
      </c>
      <c r="F4" s="2" t="inlineStr">
        <is>
          <t xml:space="preserve">Blocked</t>
        </is>
      </c>
      <c r="G4" s="2" t="inlineStr">
        <is>
          <t xml:space="preserve">N/A</t>
        </is>
      </c>
      <c r="H4" s="2" t="inlineStr">
        <is>
          <t xml:space="preserve">Not run</t>
        </is>
      </c>
      <c r="I4" s="2" t="inlineStr">
        <is>
          <t xml:space="preserve">Executed</t>
        </is>
      </c>
      <c r="J4" s="2" t="inlineStr">
        <is>
          <t xml:space="preserve">Pass rate</t>
        </is>
      </c>
    </row>
    <row r="5">
      <c r="A5" s="1" t="inlineStr">
        <is>
          <t xml:space="preserve">M01 Install and first account</t>
        </is>
      </c>
      <c r="B5" s="1">
        <f>COUNTIF('Test Cases'!$B:$B,$A5)</f>
      </c>
      <c r="C5" s="1">
        <f>COUNTIFS('Test Cases'!$B:$B,$A5,'Test Cases'!$J:$J,"Pass")</f>
      </c>
      <c r="D5" s="1">
        <f>COUNTIFS('Test Cases'!$B:$B,$A5,'Test Cases'!$J:$J,"Fail")</f>
      </c>
      <c r="E5" s="1">
        <f>COUNTIFS('Test Cases'!$B:$B,$A5,'Test Cases'!$J:$J,"Error")</f>
      </c>
      <c r="F5" s="1">
        <f>COUNTIFS('Test Cases'!$B:$B,$A5,'Test Cases'!$J:$J,"Blocked")</f>
      </c>
      <c r="G5" s="1">
        <f>COUNTIFS('Test Cases'!$B:$B,$A5,'Test Cases'!$J:$J,"N/A")</f>
      </c>
      <c r="H5" s="1">
        <f>B5-SUM(C5:G5)</f>
      </c>
      <c r="I5" s="1">
        <f>C5+D5+E5</f>
      </c>
      <c r="J5" s="6">
        <f>IF(I5=0,"",C5/I5)</f>
      </c>
    </row>
    <row r="6">
      <c r="A6" s="1" t="inlineStr">
        <is>
          <t xml:space="preserve">M02 Welcome wizard</t>
        </is>
      </c>
      <c r="B6" s="1">
        <f>COUNTIF('Test Cases'!$B:$B,$A6)</f>
      </c>
      <c r="C6" s="1">
        <f>COUNTIFS('Test Cases'!$B:$B,$A6,'Test Cases'!$J:$J,"Pass")</f>
      </c>
      <c r="D6" s="1">
        <f>COUNTIFS('Test Cases'!$B:$B,$A6,'Test Cases'!$J:$J,"Fail")</f>
      </c>
      <c r="E6" s="1">
        <f>COUNTIFS('Test Cases'!$B:$B,$A6,'Test Cases'!$J:$J,"Error")</f>
      </c>
      <c r="F6" s="1">
        <f>COUNTIFS('Test Cases'!$B:$B,$A6,'Test Cases'!$J:$J,"Blocked")</f>
      </c>
      <c r="G6" s="1">
        <f>COUNTIFS('Test Cases'!$B:$B,$A6,'Test Cases'!$J:$J,"N/A")</f>
      </c>
      <c r="H6" s="1">
        <f>B6-SUM(C6:G6)</f>
      </c>
      <c r="I6" s="1">
        <f>C6+D6+E6</f>
      </c>
      <c r="J6" s="6">
        <f>IF(I6=0,"",C6/I6)</f>
      </c>
    </row>
    <row r="7">
      <c r="A7" s="1" t="inlineStr">
        <is>
          <t xml:space="preserve">M03 Workspace settings</t>
        </is>
      </c>
      <c r="B7" s="1">
        <f>COUNTIF('Test Cases'!$B:$B,$A7)</f>
      </c>
      <c r="C7" s="1">
        <f>COUNTIFS('Test Cases'!$B:$B,$A7,'Test Cases'!$J:$J,"Pass")</f>
      </c>
      <c r="D7" s="1">
        <f>COUNTIFS('Test Cases'!$B:$B,$A7,'Test Cases'!$J:$J,"Fail")</f>
      </c>
      <c r="E7" s="1">
        <f>COUNTIFS('Test Cases'!$B:$B,$A7,'Test Cases'!$J:$J,"Error")</f>
      </c>
      <c r="F7" s="1">
        <f>COUNTIFS('Test Cases'!$B:$B,$A7,'Test Cases'!$J:$J,"Blocked")</f>
      </c>
      <c r="G7" s="1">
        <f>COUNTIFS('Test Cases'!$B:$B,$A7,'Test Cases'!$J:$J,"N/A")</f>
      </c>
      <c r="H7" s="1">
        <f>B7-SUM(C7:G7)</f>
      </c>
      <c r="I7" s="1">
        <f>C7+D7+E7</f>
      </c>
      <c r="J7" s="6">
        <f>IF(I7=0,"",C7/I7)</f>
      </c>
    </row>
    <row r="8">
      <c r="A8" s="1" t="inlineStr">
        <is>
          <t xml:space="preserve">M04 Invitations</t>
        </is>
      </c>
      <c r="B8" s="1">
        <f>COUNTIF('Test Cases'!$B:$B,$A8)</f>
      </c>
      <c r="C8" s="1">
        <f>COUNTIFS('Test Cases'!$B:$B,$A8,'Test Cases'!$J:$J,"Pass")</f>
      </c>
      <c r="D8" s="1">
        <f>COUNTIFS('Test Cases'!$B:$B,$A8,'Test Cases'!$J:$J,"Fail")</f>
      </c>
      <c r="E8" s="1">
        <f>COUNTIFS('Test Cases'!$B:$B,$A8,'Test Cases'!$J:$J,"Error")</f>
      </c>
      <c r="F8" s="1">
        <f>COUNTIFS('Test Cases'!$B:$B,$A8,'Test Cases'!$J:$J,"Blocked")</f>
      </c>
      <c r="G8" s="1">
        <f>COUNTIFS('Test Cases'!$B:$B,$A8,'Test Cases'!$J:$J,"N/A")</f>
      </c>
      <c r="H8" s="1">
        <f>B8-SUM(C8:G8)</f>
      </c>
      <c r="I8" s="1">
        <f>C8+D8+E8</f>
      </c>
      <c r="J8" s="6">
        <f>IF(I8=0,"",C8/I8)</f>
      </c>
    </row>
    <row r="9">
      <c r="A9" s="1" t="inlineStr">
        <is>
          <t xml:space="preserve">M05 Sign-in and account security</t>
        </is>
      </c>
      <c r="B9" s="1">
        <f>COUNTIF('Test Cases'!$B:$B,$A9)</f>
      </c>
      <c r="C9" s="1">
        <f>COUNTIFS('Test Cases'!$B:$B,$A9,'Test Cases'!$J:$J,"Pass")</f>
      </c>
      <c r="D9" s="1">
        <f>COUNTIFS('Test Cases'!$B:$B,$A9,'Test Cases'!$J:$J,"Fail")</f>
      </c>
      <c r="E9" s="1">
        <f>COUNTIFS('Test Cases'!$B:$B,$A9,'Test Cases'!$J:$J,"Error")</f>
      </c>
      <c r="F9" s="1">
        <f>COUNTIFS('Test Cases'!$B:$B,$A9,'Test Cases'!$J:$J,"Blocked")</f>
      </c>
      <c r="G9" s="1">
        <f>COUNTIFS('Test Cases'!$B:$B,$A9,'Test Cases'!$J:$J,"N/A")</f>
      </c>
      <c r="H9" s="1">
        <f>B9-SUM(C9:G9)</f>
      </c>
      <c r="I9" s="1">
        <f>C9+D9+E9</f>
      </c>
      <c r="J9" s="6">
        <f>IF(I9=0,"",C9/I9)</f>
      </c>
    </row>
    <row r="10">
      <c r="A10" s="1" t="inlineStr">
        <is>
          <t xml:space="preserve">M06 People and org chart</t>
        </is>
      </c>
      <c r="B10" s="1">
        <f>COUNTIF('Test Cases'!$B:$B,$A10)</f>
      </c>
      <c r="C10" s="1">
        <f>COUNTIFS('Test Cases'!$B:$B,$A10,'Test Cases'!$J:$J,"Pass")</f>
      </c>
      <c r="D10" s="1">
        <f>COUNTIFS('Test Cases'!$B:$B,$A10,'Test Cases'!$J:$J,"Fail")</f>
      </c>
      <c r="E10" s="1">
        <f>COUNTIFS('Test Cases'!$B:$B,$A10,'Test Cases'!$J:$J,"Error")</f>
      </c>
      <c r="F10" s="1">
        <f>COUNTIFS('Test Cases'!$B:$B,$A10,'Test Cases'!$J:$J,"Blocked")</f>
      </c>
      <c r="G10" s="1">
        <f>COUNTIFS('Test Cases'!$B:$B,$A10,'Test Cases'!$J:$J,"N/A")</f>
      </c>
      <c r="H10" s="1">
        <f>B10-SUM(C10:G10)</f>
      </c>
      <c r="I10" s="1">
        <f>C10+D10+E10</f>
      </c>
      <c r="J10" s="6">
        <f>IF(I10=0,"",C10/I10)</f>
      </c>
    </row>
    <row r="11">
      <c r="A11" s="1" t="inlineStr">
        <is>
          <t xml:space="preserve">M07 Spaces</t>
        </is>
      </c>
      <c r="B11" s="1">
        <f>COUNTIF('Test Cases'!$B:$B,$A11)</f>
      </c>
      <c r="C11" s="1">
        <f>COUNTIFS('Test Cases'!$B:$B,$A11,'Test Cases'!$J:$J,"Pass")</f>
      </c>
      <c r="D11" s="1">
        <f>COUNTIFS('Test Cases'!$B:$B,$A11,'Test Cases'!$J:$J,"Fail")</f>
      </c>
      <c r="E11" s="1">
        <f>COUNTIFS('Test Cases'!$B:$B,$A11,'Test Cases'!$J:$J,"Error")</f>
      </c>
      <c r="F11" s="1">
        <f>COUNTIFS('Test Cases'!$B:$B,$A11,'Test Cases'!$J:$J,"Blocked")</f>
      </c>
      <c r="G11" s="1">
        <f>COUNTIFS('Test Cases'!$B:$B,$A11,'Test Cases'!$J:$J,"N/A")</f>
      </c>
      <c r="H11" s="1">
        <f>B11-SUM(C11:G11)</f>
      </c>
      <c r="I11" s="1">
        <f>C11+D11+E11</f>
      </c>
      <c r="J11" s="6">
        <f>IF(I11=0,"",C11/I11)</f>
      </c>
    </row>
    <row r="12">
      <c r="A12" s="1" t="inlineStr">
        <is>
          <t xml:space="preserve">M08 Cycle: prepare, diagnose, direction</t>
        </is>
      </c>
      <c r="B12" s="1">
        <f>COUNTIF('Test Cases'!$B:$B,$A12)</f>
      </c>
      <c r="C12" s="1">
        <f>COUNTIFS('Test Cases'!$B:$B,$A12,'Test Cases'!$J:$J,"Pass")</f>
      </c>
      <c r="D12" s="1">
        <f>COUNTIFS('Test Cases'!$B:$B,$A12,'Test Cases'!$J:$J,"Fail")</f>
      </c>
      <c r="E12" s="1">
        <f>COUNTIFS('Test Cases'!$B:$B,$A12,'Test Cases'!$J:$J,"Error")</f>
      </c>
      <c r="F12" s="1">
        <f>COUNTIFS('Test Cases'!$B:$B,$A12,'Test Cases'!$J:$J,"Blocked")</f>
      </c>
      <c r="G12" s="1">
        <f>COUNTIFS('Test Cases'!$B:$B,$A12,'Test Cases'!$J:$J,"N/A")</f>
      </c>
      <c r="H12" s="1">
        <f>B12-SUM(C12:G12)</f>
      </c>
      <c r="I12" s="1">
        <f>C12+D12+E12</f>
      </c>
      <c r="J12" s="6">
        <f>IF(I12=0,"",C12/I12)</f>
      </c>
    </row>
    <row r="13">
      <c r="A13" s="1" t="inlineStr">
        <is>
          <t xml:space="preserve">M09 Drafting OKRs and quality checks</t>
        </is>
      </c>
      <c r="B13" s="1">
        <f>COUNTIF('Test Cases'!$B:$B,$A13)</f>
      </c>
      <c r="C13" s="1">
        <f>COUNTIFS('Test Cases'!$B:$B,$A13,'Test Cases'!$J:$J,"Pass")</f>
      </c>
      <c r="D13" s="1">
        <f>COUNTIFS('Test Cases'!$B:$B,$A13,'Test Cases'!$J:$J,"Fail")</f>
      </c>
      <c r="E13" s="1">
        <f>COUNTIFS('Test Cases'!$B:$B,$A13,'Test Cases'!$J:$J,"Error")</f>
      </c>
      <c r="F13" s="1">
        <f>COUNTIFS('Test Cases'!$B:$B,$A13,'Test Cases'!$J:$J,"Blocked")</f>
      </c>
      <c r="G13" s="1">
        <f>COUNTIFS('Test Cases'!$B:$B,$A13,'Test Cases'!$J:$J,"N/A")</f>
      </c>
      <c r="H13" s="1">
        <f>B13-SUM(C13:G13)</f>
      </c>
      <c r="I13" s="1">
        <f>C13+D13+E13</f>
      </c>
      <c r="J13" s="6">
        <f>IF(I13=0,"",C13/I13)</f>
      </c>
    </row>
    <row r="14">
      <c r="A14" s="1" t="inlineStr">
        <is>
          <t xml:space="preserve">M10 Goal page and documents</t>
        </is>
      </c>
      <c r="B14" s="1">
        <f>COUNTIF('Test Cases'!$B:$B,$A14)</f>
      </c>
      <c r="C14" s="1">
        <f>COUNTIFS('Test Cases'!$B:$B,$A14,'Test Cases'!$J:$J,"Pass")</f>
      </c>
      <c r="D14" s="1">
        <f>COUNTIFS('Test Cases'!$B:$B,$A14,'Test Cases'!$J:$J,"Fail")</f>
      </c>
      <c r="E14" s="1">
        <f>COUNTIFS('Test Cases'!$B:$B,$A14,'Test Cases'!$J:$J,"Error")</f>
      </c>
      <c r="F14" s="1">
        <f>COUNTIFS('Test Cases'!$B:$B,$A14,'Test Cases'!$J:$J,"Blocked")</f>
      </c>
      <c r="G14" s="1">
        <f>COUNTIFS('Test Cases'!$B:$B,$A14,'Test Cases'!$J:$J,"N/A")</f>
      </c>
      <c r="H14" s="1">
        <f>B14-SUM(C14:G14)</f>
      </c>
      <c r="I14" s="1">
        <f>C14+D14+E14</f>
      </c>
      <c r="J14" s="6">
        <f>IF(I14=0,"",C14/I14)</f>
      </c>
    </row>
    <row r="15">
      <c r="A15" s="1" t="inlineStr">
        <is>
          <t xml:space="preserve">M11 Alignment and publishing</t>
        </is>
      </c>
      <c r="B15" s="1">
        <f>COUNTIF('Test Cases'!$B:$B,$A15)</f>
      </c>
      <c r="C15" s="1">
        <f>COUNTIFS('Test Cases'!$B:$B,$A15,'Test Cases'!$J:$J,"Pass")</f>
      </c>
      <c r="D15" s="1">
        <f>COUNTIFS('Test Cases'!$B:$B,$A15,'Test Cases'!$J:$J,"Fail")</f>
      </c>
      <c r="E15" s="1">
        <f>COUNTIFS('Test Cases'!$B:$B,$A15,'Test Cases'!$J:$J,"Error")</f>
      </c>
      <c r="F15" s="1">
        <f>COUNTIFS('Test Cases'!$B:$B,$A15,'Test Cases'!$J:$J,"Blocked")</f>
      </c>
      <c r="G15" s="1">
        <f>COUNTIFS('Test Cases'!$B:$B,$A15,'Test Cases'!$J:$J,"N/A")</f>
      </c>
      <c r="H15" s="1">
        <f>B15-SUM(C15:G15)</f>
      </c>
      <c r="I15" s="1">
        <f>C15+D15+E15</f>
      </c>
      <c r="J15" s="6">
        <f>IF(I15=0,"",C15/I15)</f>
      </c>
    </row>
    <row r="16">
      <c r="A16" s="1" t="inlineStr">
        <is>
          <t xml:space="preserve">M12 KPIs and recovery</t>
        </is>
      </c>
      <c r="B16" s="1">
        <f>COUNTIF('Test Cases'!$B:$B,$A16)</f>
      </c>
      <c r="C16" s="1">
        <f>COUNTIFS('Test Cases'!$B:$B,$A16,'Test Cases'!$J:$J,"Pass")</f>
      </c>
      <c r="D16" s="1">
        <f>COUNTIFS('Test Cases'!$B:$B,$A16,'Test Cases'!$J:$J,"Fail")</f>
      </c>
      <c r="E16" s="1">
        <f>COUNTIFS('Test Cases'!$B:$B,$A16,'Test Cases'!$J:$J,"Error")</f>
      </c>
      <c r="F16" s="1">
        <f>COUNTIFS('Test Cases'!$B:$B,$A16,'Test Cases'!$J:$J,"Blocked")</f>
      </c>
      <c r="G16" s="1">
        <f>COUNTIFS('Test Cases'!$B:$B,$A16,'Test Cases'!$J:$J,"N/A")</f>
      </c>
      <c r="H16" s="1">
        <f>B16-SUM(C16:G16)</f>
      </c>
      <c r="I16" s="1">
        <f>C16+D16+E16</f>
      </c>
      <c r="J16" s="6">
        <f>IF(I16=0,"",C16/I16)</f>
      </c>
    </row>
    <row r="17">
      <c r="A17" s="1" t="inlineStr">
        <is>
          <t xml:space="preserve">M13 Initiatives, board and tasks</t>
        </is>
      </c>
      <c r="B17" s="1">
        <f>COUNTIF('Test Cases'!$B:$B,$A17)</f>
      </c>
      <c r="C17" s="1">
        <f>COUNTIFS('Test Cases'!$B:$B,$A17,'Test Cases'!$J:$J,"Pass")</f>
      </c>
      <c r="D17" s="1">
        <f>COUNTIFS('Test Cases'!$B:$B,$A17,'Test Cases'!$J:$J,"Fail")</f>
      </c>
      <c r="E17" s="1">
        <f>COUNTIFS('Test Cases'!$B:$B,$A17,'Test Cases'!$J:$J,"Error")</f>
      </c>
      <c r="F17" s="1">
        <f>COUNTIFS('Test Cases'!$B:$B,$A17,'Test Cases'!$J:$J,"Blocked")</f>
      </c>
      <c r="G17" s="1">
        <f>COUNTIFS('Test Cases'!$B:$B,$A17,'Test Cases'!$J:$J,"N/A")</f>
      </c>
      <c r="H17" s="1">
        <f>B17-SUM(C17:G17)</f>
      </c>
      <c r="I17" s="1">
        <f>C17+D17+E17</f>
      </c>
      <c r="J17" s="6">
        <f>IF(I17=0,"",C17/I17)</f>
      </c>
    </row>
    <row r="18">
      <c r="A18" s="1" t="inlineStr">
        <is>
          <t xml:space="preserve">M14 Check-in, review and inbox</t>
        </is>
      </c>
      <c r="B18" s="1">
        <f>COUNTIF('Test Cases'!$B:$B,$A18)</f>
      </c>
      <c r="C18" s="1">
        <f>COUNTIFS('Test Cases'!$B:$B,$A18,'Test Cases'!$J:$J,"Pass")</f>
      </c>
      <c r="D18" s="1">
        <f>COUNTIFS('Test Cases'!$B:$B,$A18,'Test Cases'!$J:$J,"Fail")</f>
      </c>
      <c r="E18" s="1">
        <f>COUNTIFS('Test Cases'!$B:$B,$A18,'Test Cases'!$J:$J,"Error")</f>
      </c>
      <c r="F18" s="1">
        <f>COUNTIFS('Test Cases'!$B:$B,$A18,'Test Cases'!$J:$J,"Blocked")</f>
      </c>
      <c r="G18" s="1">
        <f>COUNTIFS('Test Cases'!$B:$B,$A18,'Test Cases'!$J:$J,"N/A")</f>
      </c>
      <c r="H18" s="1">
        <f>B18-SUM(C18:G18)</f>
      </c>
      <c r="I18" s="1">
        <f>C18+D18+E18</f>
      </c>
      <c r="J18" s="6">
        <f>IF(I18=0,"",C18/I18)</f>
      </c>
    </row>
    <row r="19">
      <c r="A19" s="1" t="inlineStr">
        <is>
          <t xml:space="preserve">M15 Weekly session</t>
        </is>
      </c>
      <c r="B19" s="1">
        <f>COUNTIF('Test Cases'!$B:$B,$A19)</f>
      </c>
      <c r="C19" s="1">
        <f>COUNTIFS('Test Cases'!$B:$B,$A19,'Test Cases'!$J:$J,"Pass")</f>
      </c>
      <c r="D19" s="1">
        <f>COUNTIFS('Test Cases'!$B:$B,$A19,'Test Cases'!$J:$J,"Fail")</f>
      </c>
      <c r="E19" s="1">
        <f>COUNTIFS('Test Cases'!$B:$B,$A19,'Test Cases'!$J:$J,"Error")</f>
      </c>
      <c r="F19" s="1">
        <f>COUNTIFS('Test Cases'!$B:$B,$A19,'Test Cases'!$J:$J,"Blocked")</f>
      </c>
      <c r="G19" s="1">
        <f>COUNTIFS('Test Cases'!$B:$B,$A19,'Test Cases'!$J:$J,"N/A")</f>
      </c>
      <c r="H19" s="1">
        <f>B19-SUM(C19:G19)</f>
      </c>
      <c r="I19" s="1">
        <f>C19+D19+E19</f>
      </c>
      <c r="J19" s="6">
        <f>IF(I19=0,"",C19/I19)</f>
      </c>
    </row>
    <row r="20">
      <c r="A20" s="1" t="inlineStr">
        <is>
          <t xml:space="preserve">M16 Agents and nudges</t>
        </is>
      </c>
      <c r="B20" s="1">
        <f>COUNTIF('Test Cases'!$B:$B,$A20)</f>
      </c>
      <c r="C20" s="1">
        <f>COUNTIFS('Test Cases'!$B:$B,$A20,'Test Cases'!$J:$J,"Pass")</f>
      </c>
      <c r="D20" s="1">
        <f>COUNTIFS('Test Cases'!$B:$B,$A20,'Test Cases'!$J:$J,"Fail")</f>
      </c>
      <c r="E20" s="1">
        <f>COUNTIFS('Test Cases'!$B:$B,$A20,'Test Cases'!$J:$J,"Error")</f>
      </c>
      <c r="F20" s="1">
        <f>COUNTIFS('Test Cases'!$B:$B,$A20,'Test Cases'!$J:$J,"Blocked")</f>
      </c>
      <c r="G20" s="1">
        <f>COUNTIFS('Test Cases'!$B:$B,$A20,'Test Cases'!$J:$J,"N/A")</f>
      </c>
      <c r="H20" s="1">
        <f>B20-SUM(C20:G20)</f>
      </c>
      <c r="I20" s="1">
        <f>C20+D20+E20</f>
      </c>
      <c r="J20" s="6">
        <f>IF(I20=0,"",C20/I20)</f>
      </c>
    </row>
    <row r="21">
      <c r="A21" s="1" t="inlineStr">
        <is>
          <t xml:space="preserve">M17 Work map, search and activity</t>
        </is>
      </c>
      <c r="B21" s="1">
        <f>COUNTIF('Test Cases'!$B:$B,$A21)</f>
      </c>
      <c r="C21" s="1">
        <f>COUNTIFS('Test Cases'!$B:$B,$A21,'Test Cases'!$J:$J,"Pass")</f>
      </c>
      <c r="D21" s="1">
        <f>COUNTIFS('Test Cases'!$B:$B,$A21,'Test Cases'!$J:$J,"Fail")</f>
      </c>
      <c r="E21" s="1">
        <f>COUNTIFS('Test Cases'!$B:$B,$A21,'Test Cases'!$J:$J,"Error")</f>
      </c>
      <c r="F21" s="1">
        <f>COUNTIFS('Test Cases'!$B:$B,$A21,'Test Cases'!$J:$J,"Blocked")</f>
      </c>
      <c r="G21" s="1">
        <f>COUNTIFS('Test Cases'!$B:$B,$A21,'Test Cases'!$J:$J,"N/A")</f>
      </c>
      <c r="H21" s="1">
        <f>B21-SUM(C21:G21)</f>
      </c>
      <c r="I21" s="1">
        <f>C21+D21+E21</f>
      </c>
      <c r="J21" s="6">
        <f>IF(I21=0,"",C21/I21)</f>
      </c>
    </row>
    <row r="22">
      <c r="A22" s="1" t="inlineStr">
        <is>
          <t xml:space="preserve">M18 Closing the cycle and scorecard</t>
        </is>
      </c>
      <c r="B22" s="1">
        <f>COUNTIF('Test Cases'!$B:$B,$A22)</f>
      </c>
      <c r="C22" s="1">
        <f>COUNTIFS('Test Cases'!$B:$B,$A22,'Test Cases'!$J:$J,"Pass")</f>
      </c>
      <c r="D22" s="1">
        <f>COUNTIFS('Test Cases'!$B:$B,$A22,'Test Cases'!$J:$J,"Fail")</f>
      </c>
      <c r="E22" s="1">
        <f>COUNTIFS('Test Cases'!$B:$B,$A22,'Test Cases'!$J:$J,"Error")</f>
      </c>
      <c r="F22" s="1">
        <f>COUNTIFS('Test Cases'!$B:$B,$A22,'Test Cases'!$J:$J,"Blocked")</f>
      </c>
      <c r="G22" s="1">
        <f>COUNTIFS('Test Cases'!$B:$B,$A22,'Test Cases'!$J:$J,"N/A")</f>
      </c>
      <c r="H22" s="1">
        <f>B22-SUM(C22:G22)</f>
      </c>
      <c r="I22" s="1">
        <f>C22+D22+E22</f>
      </c>
      <c r="J22" s="6">
        <f>IF(I22=0,"",C22/I22)</f>
      </c>
    </row>
    <row r="23">
      <c r="A23" s="1" t="inlineStr">
        <is>
          <t xml:space="preserve">M19 Access and permissions</t>
        </is>
      </c>
      <c r="B23" s="1">
        <f>COUNTIF('Test Cases'!$B:$B,$A23)</f>
      </c>
      <c r="C23" s="1">
        <f>COUNTIFS('Test Cases'!$B:$B,$A23,'Test Cases'!$J:$J,"Pass")</f>
      </c>
      <c r="D23" s="1">
        <f>COUNTIFS('Test Cases'!$B:$B,$A23,'Test Cases'!$J:$J,"Fail")</f>
      </c>
      <c r="E23" s="1">
        <f>COUNTIFS('Test Cases'!$B:$B,$A23,'Test Cases'!$J:$J,"Error")</f>
      </c>
      <c r="F23" s="1">
        <f>COUNTIFS('Test Cases'!$B:$B,$A23,'Test Cases'!$J:$J,"Blocked")</f>
      </c>
      <c r="G23" s="1">
        <f>COUNTIFS('Test Cases'!$B:$B,$A23,'Test Cases'!$J:$J,"N/A")</f>
      </c>
      <c r="H23" s="1">
        <f>B23-SUM(C23:G23)</f>
      </c>
      <c r="I23" s="1">
        <f>C23+D23+E23</f>
      </c>
      <c r="J23" s="6">
        <f>IF(I23=0,"",C23/I23)</f>
      </c>
    </row>
    <row r="24">
      <c r="A24" s="1" t="inlineStr">
        <is>
          <t xml:space="preserve">M20 AI provider and copilot</t>
        </is>
      </c>
      <c r="B24" s="1">
        <f>COUNTIF('Test Cases'!$B:$B,$A24)</f>
      </c>
      <c r="C24" s="1">
        <f>COUNTIFS('Test Cases'!$B:$B,$A24,'Test Cases'!$J:$J,"Pass")</f>
      </c>
      <c r="D24" s="1">
        <f>COUNTIFS('Test Cases'!$B:$B,$A24,'Test Cases'!$J:$J,"Fail")</f>
      </c>
      <c r="E24" s="1">
        <f>COUNTIFS('Test Cases'!$B:$B,$A24,'Test Cases'!$J:$J,"Error")</f>
      </c>
      <c r="F24" s="1">
        <f>COUNTIFS('Test Cases'!$B:$B,$A24,'Test Cases'!$J:$J,"Blocked")</f>
      </c>
      <c r="G24" s="1">
        <f>COUNTIFS('Test Cases'!$B:$B,$A24,'Test Cases'!$J:$J,"N/A")</f>
      </c>
      <c r="H24" s="1">
        <f>B24-SUM(C24:G24)</f>
      </c>
      <c r="I24" s="1">
        <f>C24+D24+E24</f>
      </c>
      <c r="J24" s="6">
        <f>IF(I24=0,"",C24/I24)</f>
      </c>
    </row>
    <row r="25">
      <c r="A25" s="1" t="inlineStr">
        <is>
          <t xml:space="preserve">M21 Chat channels and email</t>
        </is>
      </c>
      <c r="B25" s="1">
        <f>COUNTIF('Test Cases'!$B:$B,$A25)</f>
      </c>
      <c r="C25" s="1">
        <f>COUNTIFS('Test Cases'!$B:$B,$A25,'Test Cases'!$J:$J,"Pass")</f>
      </c>
      <c r="D25" s="1">
        <f>COUNTIFS('Test Cases'!$B:$B,$A25,'Test Cases'!$J:$J,"Fail")</f>
      </c>
      <c r="E25" s="1">
        <f>COUNTIFS('Test Cases'!$B:$B,$A25,'Test Cases'!$J:$J,"Error")</f>
      </c>
      <c r="F25" s="1">
        <f>COUNTIFS('Test Cases'!$B:$B,$A25,'Test Cases'!$J:$J,"Blocked")</f>
      </c>
      <c r="G25" s="1">
        <f>COUNTIFS('Test Cases'!$B:$B,$A25,'Test Cases'!$J:$J,"N/A")</f>
      </c>
      <c r="H25" s="1">
        <f>B25-SUM(C25:G25)</f>
      </c>
      <c r="I25" s="1">
        <f>C25+D25+E25</f>
      </c>
      <c r="J25" s="6">
        <f>IF(I25=0,"",C25/I25)</f>
      </c>
    </row>
    <row r="26">
      <c r="A26" s="1" t="inlineStr">
        <is>
          <t xml:space="preserve">M22 Single sign-on and directory sync</t>
        </is>
      </c>
      <c r="B26" s="1">
        <f>COUNTIF('Test Cases'!$B:$B,$A26)</f>
      </c>
      <c r="C26" s="1">
        <f>COUNTIFS('Test Cases'!$B:$B,$A26,'Test Cases'!$J:$J,"Pass")</f>
      </c>
      <c r="D26" s="1">
        <f>COUNTIFS('Test Cases'!$B:$B,$A26,'Test Cases'!$J:$J,"Fail")</f>
      </c>
      <c r="E26" s="1">
        <f>COUNTIFS('Test Cases'!$B:$B,$A26,'Test Cases'!$J:$J,"Error")</f>
      </c>
      <c r="F26" s="1">
        <f>COUNTIFS('Test Cases'!$B:$B,$A26,'Test Cases'!$J:$J,"Blocked")</f>
      </c>
      <c r="G26" s="1">
        <f>COUNTIFS('Test Cases'!$B:$B,$A26,'Test Cases'!$J:$J,"N/A")</f>
      </c>
      <c r="H26" s="1">
        <f>B26-SUM(C26:G26)</f>
      </c>
      <c r="I26" s="1">
        <f>C26+D26+E26</f>
      </c>
      <c r="J26" s="6">
        <f>IF(I26=0,"",C26/I26)</f>
      </c>
    </row>
    <row r="27">
      <c r="A27" s="1" t="inlineStr">
        <is>
          <t xml:space="preserve">M23 Import and export</t>
        </is>
      </c>
      <c r="B27" s="1">
        <f>COUNTIF('Test Cases'!$B:$B,$A27)</f>
      </c>
      <c r="C27" s="1">
        <f>COUNTIFS('Test Cases'!$B:$B,$A27,'Test Cases'!$J:$J,"Pass")</f>
      </c>
      <c r="D27" s="1">
        <f>COUNTIFS('Test Cases'!$B:$B,$A27,'Test Cases'!$J:$J,"Fail")</f>
      </c>
      <c r="E27" s="1">
        <f>COUNTIFS('Test Cases'!$B:$B,$A27,'Test Cases'!$J:$J,"Error")</f>
      </c>
      <c r="F27" s="1">
        <f>COUNTIFS('Test Cases'!$B:$B,$A27,'Test Cases'!$J:$J,"Blocked")</f>
      </c>
      <c r="G27" s="1">
        <f>COUNTIFS('Test Cases'!$B:$B,$A27,'Test Cases'!$J:$J,"N/A")</f>
      </c>
      <c r="H27" s="1">
        <f>B27-SUM(C27:G27)</f>
      </c>
      <c r="I27" s="1">
        <f>C27+D27+E27</f>
      </c>
      <c r="J27" s="6">
        <f>IF(I27=0,"",C27/I27)</f>
      </c>
    </row>
    <row r="28">
      <c r="A28" s="1" t="inlineStr">
        <is>
          <t xml:space="preserve">M24 API tokens, CLI and external agents</t>
        </is>
      </c>
      <c r="B28" s="1">
        <f>COUNTIF('Test Cases'!$B:$B,$A28)</f>
      </c>
      <c r="C28" s="1">
        <f>COUNTIFS('Test Cases'!$B:$B,$A28,'Test Cases'!$J:$J,"Pass")</f>
      </c>
      <c r="D28" s="1">
        <f>COUNTIFS('Test Cases'!$B:$B,$A28,'Test Cases'!$J:$J,"Fail")</f>
      </c>
      <c r="E28" s="1">
        <f>COUNTIFS('Test Cases'!$B:$B,$A28,'Test Cases'!$J:$J,"Error")</f>
      </c>
      <c r="F28" s="1">
        <f>COUNTIFS('Test Cases'!$B:$B,$A28,'Test Cases'!$J:$J,"Blocked")</f>
      </c>
      <c r="G28" s="1">
        <f>COUNTIFS('Test Cases'!$B:$B,$A28,'Test Cases'!$J:$J,"N/A")</f>
      </c>
      <c r="H28" s="1">
        <f>B28-SUM(C28:G28)</f>
      </c>
      <c r="I28" s="1">
        <f>C28+D28+E28</f>
      </c>
      <c r="J28" s="6">
        <f>IF(I28=0,"",C28/I28)</f>
      </c>
    </row>
    <row r="29">
      <c r="A29" s="1" t="inlineStr">
        <is>
          <t xml:space="preserve">M25 Audit trail and workspace state</t>
        </is>
      </c>
      <c r="B29" s="1">
        <f>COUNTIF('Test Cases'!$B:$B,$A29)</f>
      </c>
      <c r="C29" s="1">
        <f>COUNTIFS('Test Cases'!$B:$B,$A29,'Test Cases'!$J:$J,"Pass")</f>
      </c>
      <c r="D29" s="1">
        <f>COUNTIFS('Test Cases'!$B:$B,$A29,'Test Cases'!$J:$J,"Fail")</f>
      </c>
      <c r="E29" s="1">
        <f>COUNTIFS('Test Cases'!$B:$B,$A29,'Test Cases'!$J:$J,"Error")</f>
      </c>
      <c r="F29" s="1">
        <f>COUNTIFS('Test Cases'!$B:$B,$A29,'Test Cases'!$J:$J,"Blocked")</f>
      </c>
      <c r="G29" s="1">
        <f>COUNTIFS('Test Cases'!$B:$B,$A29,'Test Cases'!$J:$J,"N/A")</f>
      </c>
      <c r="H29" s="1">
        <f>B29-SUM(C29:G29)</f>
      </c>
      <c r="I29" s="1">
        <f>C29+D29+E29</f>
      </c>
      <c r="J29" s="6">
        <f>IF(I29=0,"",C29/I29)</f>
      </c>
    </row>
    <row r="30">
      <c r="A30" s="1" t="inlineStr">
        <is>
          <t xml:space="preserve">M26 Cloud operator console</t>
        </is>
      </c>
      <c r="B30" s="1">
        <f>COUNTIF('Test Cases'!$B:$B,$A30)</f>
      </c>
      <c r="C30" s="1">
        <f>COUNTIFS('Test Cases'!$B:$B,$A30,'Test Cases'!$J:$J,"Pass")</f>
      </c>
      <c r="D30" s="1">
        <f>COUNTIFS('Test Cases'!$B:$B,$A30,'Test Cases'!$J:$J,"Fail")</f>
      </c>
      <c r="E30" s="1">
        <f>COUNTIFS('Test Cases'!$B:$B,$A30,'Test Cases'!$J:$J,"Error")</f>
      </c>
      <c r="F30" s="1">
        <f>COUNTIFS('Test Cases'!$B:$B,$A30,'Test Cases'!$J:$J,"Blocked")</f>
      </c>
      <c r="G30" s="1">
        <f>COUNTIFS('Test Cases'!$B:$B,$A30,'Test Cases'!$J:$J,"N/A")</f>
      </c>
      <c r="H30" s="1">
        <f>B30-SUM(C30:G30)</f>
      </c>
      <c r="I30" s="1">
        <f>C30+D30+E30</f>
      </c>
      <c r="J30" s="6">
        <f>IF(I30=0,"",C30/I30)</f>
      </c>
    </row>
    <row r="31">
      <c r="A31" s="7" t="inlineStr">
        <is>
          <t xml:space="preserve">Total</t>
        </is>
      </c>
      <c r="B31" s="7">
        <f>SUM(B5:B30)</f>
      </c>
      <c r="C31" s="7">
        <f>SUM(C5:C30)</f>
      </c>
      <c r="D31" s="7">
        <f>SUM(D5:D30)</f>
      </c>
      <c r="E31" s="7">
        <f>SUM(E5:E30)</f>
      </c>
      <c r="F31" s="7">
        <f>SUM(F5:F30)</f>
      </c>
      <c r="G31" s="7">
        <f>SUM(G5:G30)</f>
      </c>
      <c r="H31" s="7">
        <f>SUM(H5:H30)</f>
      </c>
      <c r="I31" s="7">
        <f>SUM(I5:I30)</f>
      </c>
      <c r="J31" s="8">
        <f>IF(I31=0,"",C31/I31)</f>
      </c>
    </row>
    <row r="32"/>
    <row r="33" ht="28" customHeight="1">
      <c r="A33" s="10" t="inlineStr">
        <is>
          <t xml:space="preserve">Executed counts Pass, Fail and Error. Pass rate is Pass divided by Executed. Blocked and N/A are left out of the rate because nothing was judged. A blank Status counts as Not run.</t>
        </is>
      </c>
    </row>
  </sheetData>
  <mergeCells count="2">
    <mergeCell ref="A2:J2"/>
    <mergeCell ref="A33:J33"/>
  </mergeCells>
  <pageMargins left="0.4" right="0.4" top="0.5" bottom="0.5" header="0.3" footer="0.3"/>
  <pageSetup orientation="landscape" fitToWidth="1" fitToHeight="0"/>
</worksheet>
</file>

<file path=xl/worksheets/sheet4.xml><?xml version="1.0" encoding="utf-8"?>
<worksheet xmlns="http://schemas.openxmlformats.org/spreadsheetml/2006/main" xmlns:r="http://schemas.openxmlformats.org/officeDocument/2006/relationships">
  <sheetViews>
    <sheetView workbookViewId="0" showGridLines="0"/>
  </sheetViews>
  <cols>
    <col min="1" max="1" width="15" customWidth="1"/>
    <col min="2" max="2" width="30" customWidth="1"/>
    <col min="3" max="3" width="26" customWidth="1"/>
    <col min="4" max="4" width="12" customWidth="1"/>
    <col min="5" max="5" width="34" customWidth="1"/>
    <col min="6" max="6" width="20" customWidth="1"/>
    <col min="7" max="7" width="52" customWidth="1"/>
    <col min="8" max="8" width="30" customWidth="1"/>
  </cols>
  <sheetData>
    <row r="1" ht="26" customHeight="1">
      <c r="A1" s="4" t="inlineStr">
        <is>
          <t xml:space="preserve">Personas</t>
        </is>
      </c>
    </row>
    <row r="2" ht="30" customHeight="1">
      <c r="A2" s="10" t="inlineStr">
        <is>
          <t xml:space="preserve">The Northwind Labs cast from the product's own demo story. Every test case names who to sign in as. Type the shared inbox in the yellow cell below: the seven addresses fill themselves in, and sh deploy/staging/seed.sh --inbox &lt;that inbox&gt; creates exactly those accounts (M02-04).</t>
        </is>
      </c>
    </row>
    <row r="3"/>
    <row r="4">
      <c r="A4" s="7" t="inlineStr">
        <is>
          <t xml:space="preserve">Shared inbox</t>
        </is>
      </c>
      <c r="B4" s="5"/>
      <c r="C4" s="10" t="inlineStr">
        <is>
          <t xml:space="preserve">For example qa.okr@gmail.com. No plus sign: each persona adds its own.</t>
        </is>
      </c>
    </row>
    <row r="5">
      <c r="A5" s="7" t="inlineStr">
        <is>
          <t xml:space="preserve">Shared password</t>
        </is>
      </c>
      <c r="B5" s="5" t="inlineStr">
        <is>
          <t xml:space="preserve">northwind-uat-2026</t>
        </is>
      </c>
      <c r="C5" s="10" t="inlineStr">
        <is>
          <t xml:space="preserve">The seed command's default. Change it here if the command was run with --password.</t>
        </is>
      </c>
    </row>
    <row r="6"/>
    <row r="7" ht="22" customHeight="1">
      <c r="A7" s="2" t="inlineStr">
        <is>
          <t xml:space="preserve">Persona</t>
        </is>
      </c>
      <c r="B7" s="2" t="inlineStr">
        <is>
          <t xml:space="preserve">Full name</t>
        </is>
      </c>
      <c r="C7" s="2" t="inlineStr">
        <is>
          <t xml:space="preserve">Title</t>
        </is>
      </c>
      <c r="D7" s="2" t="inlineStr">
        <is>
          <t xml:space="preserve">Reports to</t>
        </is>
      </c>
      <c r="E7" s="2" t="inlineStr">
        <is>
          <t xml:space="preserve">Sign-in email</t>
        </is>
      </c>
      <c r="F7" s="2" t="inlineStr">
        <is>
          <t xml:space="preserve">Password</t>
        </is>
      </c>
      <c r="G7" s="2" t="inlineStr">
        <is>
          <t xml:space="preserve">Access and role in the test</t>
        </is>
      </c>
      <c r="H7" s="2" t="inlineStr">
        <is>
          <t xml:space="preserve">Used in</t>
        </is>
      </c>
    </row>
    <row r="8">
      <c r="A8" s="7" t="inlineStr">
        <is>
          <t xml:space="preserve">Admin</t>
        </is>
      </c>
      <c r="B8" s="1" t="inlineStr">
        <is>
          <t xml:space="preserve">(your own name)</t>
        </is>
      </c>
      <c r="C8" s="1" t="inlineStr">
        <is>
          <t xml:space="preserve">Chief Executive</t>
        </is>
      </c>
      <c r="D8" s="1" t="inlineStr">
        <is>
          <t xml:space="preserve">Nobody</t>
        </is>
      </c>
      <c r="E8" s="5"/>
      <c r="F8" s="5"/>
      <c r="G8" s="1" t="inlineStr">
        <is>
          <t xml:space="preserve">Full access. The first account. The only one who can open Admin screens</t>
        </is>
      </c>
      <c r="H8" s="1" t="inlineStr">
        <is>
          <t xml:space="preserve">All</t>
        </is>
      </c>
    </row>
    <row r="9">
      <c r="A9" s="7" t="inlineStr">
        <is>
          <t xml:space="preserve">Priya</t>
        </is>
      </c>
      <c r="B9" s="1" t="inlineStr">
        <is>
          <t xml:space="preserve">Priya Raman</t>
        </is>
      </c>
      <c r="C9" s="1" t="inlineStr">
        <is>
          <t xml:space="preserve">Chief Product Officer</t>
        </is>
      </c>
      <c r="D9" s="1" t="inlineStr">
        <is>
          <t xml:space="preserve">Admin</t>
        </is>
      </c>
      <c r="E9" s="1">
        <f>IF($B$4="","",LOWER(SUBSTITUTE($B$4,"@","+priya@")))</f>
      </c>
      <c r="F9" s="1">
        <f>$B$5</f>
      </c>
      <c r="G9" s="1" t="inlineStr">
        <is>
          <t xml:space="preserve">Member (edit). Manager of the Product space. Reviewer of Sara's goal</t>
        </is>
      </c>
      <c r="H9" s="1" t="inlineStr">
        <is>
          <t xml:space="preserve">M02, M06, M07, M11, M14, M15</t>
        </is>
      </c>
    </row>
    <row r="10">
      <c r="A10" s="7" t="inlineStr">
        <is>
          <t xml:space="preserve">Daniel</t>
        </is>
      </c>
      <c r="B10" s="1" t="inlineStr">
        <is>
          <t xml:space="preserve">Daniel Osei</t>
        </is>
      </c>
      <c r="C10" s="1" t="inlineStr">
        <is>
          <t xml:space="preserve">VP Sales</t>
        </is>
      </c>
      <c r="D10" s="1" t="inlineStr">
        <is>
          <t xml:space="preserve">Admin</t>
        </is>
      </c>
      <c r="E10" s="1">
        <f>IF($B$4="","",LOWER(SUBSTITUTE($B$4,"@","+daniel@")))</f>
      </c>
      <c r="F10" s="1">
        <f>$B$5</f>
      </c>
      <c r="G10" s="1" t="inlineStr">
        <is>
          <t xml:space="preserve">Member (edit). Manager of the Sales space. Champion of the sales objective</t>
        </is>
      </c>
      <c r="H10" s="1" t="inlineStr">
        <is>
          <t xml:space="preserve">M06, M07, M09</t>
        </is>
      </c>
    </row>
    <row r="11">
      <c r="A11" s="7" t="inlineStr">
        <is>
          <t xml:space="preserve">Tomas</t>
        </is>
      </c>
      <c r="B11" s="1" t="inlineStr">
        <is>
          <t xml:space="preserve">Tomás Herrera</t>
        </is>
      </c>
      <c r="C11" s="1" t="inlineStr">
        <is>
          <t xml:space="preserve">Head of Customer Success</t>
        </is>
      </c>
      <c r="D11" s="1" t="inlineStr">
        <is>
          <t xml:space="preserve">Admin</t>
        </is>
      </c>
      <c r="E11" s="1">
        <f>IF($B$4="","",LOWER(SUBSTITUTE($B$4,"@","+tomas@")))</f>
      </c>
      <c r="F11" s="1">
        <f>$B$5</f>
      </c>
      <c r="G11" s="1" t="inlineStr">
        <is>
          <t xml:space="preserve">Member (edit). Manager of the Customer Success space. Used for suspend and restore</t>
        </is>
      </c>
      <c r="H11" s="1" t="inlineStr">
        <is>
          <t xml:space="preserve">M06, M07, M09</t>
        </is>
      </c>
    </row>
    <row r="12">
      <c r="A12" s="7" t="inlineStr">
        <is>
          <t xml:space="preserve">Mei</t>
        </is>
      </c>
      <c r="B12" s="1" t="inlineStr">
        <is>
          <t xml:space="preserve">Mei Lin</t>
        </is>
      </c>
      <c r="C12" s="1" t="inlineStr">
        <is>
          <t xml:space="preserve">Head of Engineering</t>
        </is>
      </c>
      <c r="D12" s="1" t="inlineStr">
        <is>
          <t xml:space="preserve">Priya</t>
        </is>
      </c>
      <c r="E12" s="1">
        <f>IF($B$4="","",LOWER(SUBSTITUTE($B$4,"@","+mei@")))</f>
      </c>
      <c r="F12" s="1">
        <f>$B$5</f>
      </c>
      <c r="G12" s="1" t="inlineStr">
        <is>
          <t xml:space="preserve">Member (edit). Owns initiatives. Used as the wrong reviewer</t>
        </is>
      </c>
      <c r="H12" s="1" t="inlineStr">
        <is>
          <t xml:space="preserve">M05, M06, M13, M14</t>
        </is>
      </c>
    </row>
    <row r="13">
      <c r="A13" s="7" t="inlineStr">
        <is>
          <t xml:space="preserve">Sara</t>
        </is>
      </c>
      <c r="B13" s="1" t="inlineStr">
        <is>
          <t xml:space="preserve">Sara Nasser</t>
        </is>
      </c>
      <c r="C13" s="1" t="inlineStr">
        <is>
          <t xml:space="preserve">Product Manager, Onboarding</t>
        </is>
      </c>
      <c r="D13" s="1" t="inlineStr">
        <is>
          <t xml:space="preserve">Priya</t>
        </is>
      </c>
      <c r="E13" s="1">
        <f>IF($B$4="","",LOWER(SUBSTITUTE($B$4,"@","+sara@")))</f>
      </c>
      <c r="F13" s="1">
        <f>$B$5</f>
      </c>
      <c r="G13" s="1" t="inlineStr">
        <is>
          <t xml:space="preserve">Member (edit). Champion of the onboarding objective. Does the check-ins</t>
        </is>
      </c>
      <c r="H13" s="1" t="inlineStr">
        <is>
          <t xml:space="preserve">M09, M14, M15</t>
        </is>
      </c>
    </row>
    <row r="14">
      <c r="A14" s="7" t="inlineStr">
        <is>
          <t xml:space="preserve">Jonas</t>
        </is>
      </c>
      <c r="B14" s="1" t="inlineStr">
        <is>
          <t xml:space="preserve">Jonas Weber</t>
        </is>
      </c>
      <c r="C14" s="1" t="inlineStr">
        <is>
          <t xml:space="preserve">Account Executive</t>
        </is>
      </c>
      <c r="D14" s="1" t="inlineStr">
        <is>
          <t xml:space="preserve">Daniel</t>
        </is>
      </c>
      <c r="E14" s="1">
        <f>IF($B$4="","",LOWER(SUBSTITUTE($B$4,"@","+jonas@")))</f>
      </c>
      <c r="F14" s="1">
        <f>$B$5</f>
      </c>
      <c r="G14" s="1" t="inlineStr">
        <is>
          <t xml:space="preserve">Member (edit). Used for the 'cannot do this' checks</t>
        </is>
      </c>
      <c r="H14" s="1" t="inlineStr">
        <is>
          <t xml:space="preserve">M05, M06, M07, M14, M19</t>
        </is>
      </c>
    </row>
    <row r="15">
      <c r="A15" s="7" t="inlineStr">
        <is>
          <t xml:space="preserve">Amara</t>
        </is>
      </c>
      <c r="B15" s="1" t="inlineStr">
        <is>
          <t xml:space="preserve">Amara Diallo</t>
        </is>
      </c>
      <c r="C15" s="1" t="inlineStr">
        <is>
          <t xml:space="preserve">Data Analyst</t>
        </is>
      </c>
      <c r="D15" s="1" t="inlineStr">
        <is>
          <t xml:space="preserve">Admin</t>
        </is>
      </c>
      <c r="E15" s="1">
        <f>IF($B$4="","",LOWER(SUBSTITUTE($B$4,"@","+amara@")))</f>
      </c>
      <c r="F15" s="1">
        <f>$B$5</f>
      </c>
      <c r="G15" s="1" t="inlineStr">
        <is>
          <t xml:space="preserve">Member (edit). Throwaway account for 2FA and guest tests</t>
        </is>
      </c>
      <c r="H15" s="1" t="inlineStr">
        <is>
          <t xml:space="preserve">M05, M19</t>
        </is>
      </c>
    </row>
    <row r="16"/>
    <row r="17" ht="30" customHeight="1">
      <c r="A17" s="10" t="inlineStr">
        <is>
          <t xml:space="preserve">Spare addresses for M04 and M19 use the same inbox: +leaver, +wrong, +other, +guest1, +guest2. Use one browser profile per persona (Chrome profiles, Firefox containers or separate browsers); it lets two people act at once in M13 and M15.</t>
        </is>
      </c>
    </row>
  </sheetData>
  <mergeCells count="4">
    <mergeCell ref="A2:H2"/>
    <mergeCell ref="C4:H4"/>
    <mergeCell ref="C5:H5"/>
    <mergeCell ref="A17:H17"/>
  </mergeCells>
  <pageMargins left="0.4" right="0.4" top="0.5" bottom="0.5" header="0.3" footer="0.3"/>
  <pageSetup orientation="landscape" fitToWidth="1" fitToHeight="0"/>
</worksheet>
</file>

<file path=xl/worksheets/sheet5.xml><?xml version="1.0" encoding="utf-8"?>
<worksheet xmlns="http://schemas.openxmlformats.org/spreadsheetml/2006/main" xmlns:r="http://schemas.openxmlformats.org/officeDocument/2006/relationships">
  <sheetViews>
    <sheetView workbookViewId="0" zoomScale="100">
      <pane xSplit="3" ySplit="1" topLeftCell="D2" activePane="bottomRight" state="frozen"/>
    </sheetView>
  </sheetViews>
  <cols>
    <col min="1" max="1" width="9" customWidth="1"/>
    <col min="2" max="2" width="22" customWidth="1"/>
    <col min="3" max="3" width="30" customWidth="1"/>
    <col min="4" max="4" width="15" customWidth="1"/>
    <col min="5" max="5" width="26" customWidth="1"/>
    <col min="6" max="6" width="48" customWidth="1"/>
    <col min="7" max="7" width="44" customWidth="1"/>
    <col min="8" max="8" width="9" customWidth="1"/>
    <col min="9" max="9" width="34" customWidth="1"/>
    <col min="10" max="10" width="11" customWidth="1"/>
    <col min="11" max="11" width="34" customWidth="1"/>
    <col min="12" max="12" width="12" customWidth="1"/>
    <col min="13" max="13" width="11" customWidth="1"/>
    <col min="14" max="14" width="10" customWidth="1"/>
  </cols>
  <sheetData>
    <row r="1" ht="30" customHeight="1">
      <c r="A1" s="2" t="inlineStr">
        <is>
          <t xml:space="preserve">ID</t>
        </is>
      </c>
      <c r="B1" s="2" t="inlineStr">
        <is>
          <t xml:space="preserve">Module</t>
        </is>
      </c>
      <c r="C1" s="2" t="inlineStr">
        <is>
          <t xml:space="preserve">Test case</t>
        </is>
      </c>
      <c r="D1" s="2" t="inlineStr">
        <is>
          <t xml:space="preserve">Login as</t>
        </is>
      </c>
      <c r="E1" s="2" t="inlineStr">
        <is>
          <t xml:space="preserve">Pre-condition</t>
        </is>
      </c>
      <c r="F1" s="2" t="inlineStr">
        <is>
          <t xml:space="preserve">Steps</t>
        </is>
      </c>
      <c r="G1" s="2" t="inlineStr">
        <is>
          <t xml:space="preserve">Expected result</t>
        </is>
      </c>
      <c r="H1" s="2" t="inlineStr">
        <is>
          <t xml:space="preserve">Priority</t>
        </is>
      </c>
      <c r="I1" s="2" t="inlineStr">
        <is>
          <t xml:space="preserve">Hint for the tester</t>
        </is>
      </c>
      <c r="J1" s="2" t="inlineStr">
        <is>
          <t xml:space="preserve">Status</t>
        </is>
      </c>
      <c r="K1" s="2" t="inlineStr">
        <is>
          <t xml:space="preserve">Actual result / notes</t>
        </is>
      </c>
      <c r="L1" s="2" t="inlineStr">
        <is>
          <t xml:space="preserve">Tester</t>
        </is>
      </c>
      <c r="M1" s="2" t="inlineStr">
        <is>
          <t xml:space="preserve">Date</t>
        </is>
      </c>
      <c r="N1" s="2" t="inlineStr">
        <is>
          <t xml:space="preserve">Bug ID</t>
        </is>
      </c>
    </row>
    <row r="2">
      <c r="A2" s="3" t="inlineStr">
        <is>
          <t xml:space="preserve">M01 Install and first account: Turn an empty server into an instance with one owner. About 10 min. Full workflow on the Module Guide sheet.</t>
        </is>
      </c>
      <c r="B2" s="3"/>
      <c r="C2" s="3"/>
      <c r="D2" s="3"/>
      <c r="E2" s="3"/>
      <c r="F2" s="3"/>
      <c r="G2" s="3"/>
      <c r="H2" s="3"/>
      <c r="I2" s="3"/>
      <c r="J2" s="3"/>
      <c r="K2" s="3"/>
      <c r="L2" s="3"/>
      <c r="M2" s="3"/>
      <c r="N2" s="3"/>
    </row>
    <row r="3">
      <c r="A3" s="1" t="inlineStr">
        <is>
          <t xml:space="preserve">M01-01</t>
        </is>
      </c>
      <c r="B3" s="1" t="inlineStr">
        <is>
          <t xml:space="preserve">M01 Install and first account</t>
        </is>
      </c>
      <c r="C3" s="1" t="inlineStr">
        <is>
          <t xml:space="preserve">An empty instance sends every visitor to setup</t>
        </is>
      </c>
      <c r="D3" s="1" t="inlineStr">
        <is>
          <t xml:space="preserve">Nobody (signed out)</t>
        </is>
      </c>
      <c r="E3" s="1" t="inlineStr">
        <is>
          <t xml:space="preserve">Fresh instance, empty database, no account yet</t>
        </is>
      </c>
      <c r="F3" s="1" t="inlineStr">
        <is>
          <t xml:space="preserve">1. Open the instance URL followed by /sign-in</t>
        </is>
      </c>
      <c r="G3" s="1" t="inlineStr">
        <is>
          <t xml:space="preserve">Redirected to /setup. Heading "Set up OpenOKR". The "This deployment" section lists the connection checks. Button "Create the first account" is shown</t>
        </is>
      </c>
      <c r="H3" s="1" t="inlineStr">
        <is>
          <t xml:space="preserve">High</t>
        </is>
      </c>
      <c r="I3" s="1"/>
      <c r="J3" s="5" t="inlineStr">
        <is>
          <t xml:space="preserve">Not Run</t>
        </is>
      </c>
      <c r="K3" s="5"/>
      <c r="L3" s="5"/>
      <c r="M3" s="5"/>
      <c r="N3" s="5"/>
    </row>
    <row r="4">
      <c r="A4" s="1" t="inlineStr">
        <is>
          <t xml:space="preserve">M01-02</t>
        </is>
      </c>
      <c r="B4" s="1" t="inlineStr">
        <is>
          <t xml:space="preserve">M01 Install and first account</t>
        </is>
      </c>
      <c r="C4" s="1" t="inlineStr">
        <is>
          <t xml:space="preserve">A short password is refused on the first account</t>
        </is>
      </c>
      <c r="D4" s="1" t="inlineStr">
        <is>
          <t xml:space="preserve">Admin</t>
        </is>
      </c>
      <c r="E4" s="1" t="inlineStr">
        <is>
          <t xml:space="preserve">M01-01 done</t>
        </is>
      </c>
      <c r="F4" s="1" t="inlineStr">
        <is>
          <t xml:space="preserve">1. Click "Create the first account"
2. Fill "Your name" and "Email"
3. Type an 8-character password
4. Click "Finish setup"</t>
        </is>
      </c>
      <c r="G4" s="1" t="inlineStr">
        <is>
          <t xml:space="preserve">The form refuses the password and points at the 12-character minimum. No account is created</t>
        </is>
      </c>
      <c r="H4" s="1" t="inlineStr">
        <is>
          <t xml:space="preserve">Medium</t>
        </is>
      </c>
      <c r="I4" s="1"/>
      <c r="J4" s="5" t="inlineStr">
        <is>
          <t xml:space="preserve">Not Run</t>
        </is>
      </c>
      <c r="K4" s="5"/>
      <c r="L4" s="5"/>
      <c r="M4" s="5"/>
      <c r="N4" s="5"/>
    </row>
    <row r="5">
      <c r="A5" s="1" t="inlineStr">
        <is>
          <t xml:space="preserve">M01-03</t>
        </is>
      </c>
      <c r="B5" s="1" t="inlineStr">
        <is>
          <t xml:space="preserve">M01 Install and first account</t>
        </is>
      </c>
      <c r="C5" s="1" t="inlineStr">
        <is>
          <t xml:space="preserve">Create the first account</t>
        </is>
      </c>
      <c r="D5" s="1" t="inlineStr">
        <is>
          <t xml:space="preserve">Admin</t>
        </is>
      </c>
      <c r="E5" s="1" t="inlineStr">
        <is>
          <t xml:space="preserve">M01-02 done</t>
        </is>
      </c>
      <c r="F5" s="1" t="inlineStr">
        <is>
          <t xml:space="preserve">1. Set "What should this instance be called?" to Northwind Labs
2. Fill your own name, your email and a password of 12 or more characters
3. Click "Finish setup"</t>
        </is>
      </c>
      <c r="G5" s="1" t="inlineStr">
        <is>
          <t xml:space="preserve">Button reads "Setting up..." then you land on /welcome with heading "Set up your workspace"</t>
        </is>
      </c>
      <c r="H5" s="1" t="inlineStr">
        <is>
          <t xml:space="preserve">High</t>
        </is>
      </c>
      <c r="I5" s="1" t="inlineStr">
        <is>
          <t xml:space="preserve">Write down the email and password. This is the only full-access account for the whole test</t>
        </is>
      </c>
      <c r="J5" s="5" t="inlineStr">
        <is>
          <t xml:space="preserve">Not Run</t>
        </is>
      </c>
      <c r="K5" s="5"/>
      <c r="L5" s="5"/>
      <c r="M5" s="5"/>
      <c r="N5" s="5"/>
    </row>
    <row r="6">
      <c r="A6" s="1" t="inlineStr">
        <is>
          <t xml:space="preserve">M01-04</t>
        </is>
      </c>
      <c r="B6" s="1" t="inlineStr">
        <is>
          <t xml:space="preserve">M01 Install and first account</t>
        </is>
      </c>
      <c r="C6" s="1" t="inlineStr">
        <is>
          <t xml:space="preserve">Registration closes once the first account exists</t>
        </is>
      </c>
      <c r="D6" s="1" t="inlineStr">
        <is>
          <t xml:space="preserve">Nobody (signed out)</t>
        </is>
      </c>
      <c r="E6" s="1" t="inlineStr">
        <is>
          <t xml:space="preserve">M01-03 done. Use a private browser window</t>
        </is>
      </c>
      <c r="F6" s="1" t="inlineStr">
        <is>
          <t xml:space="preserve">1. Open /sign-up
2. Open /setup</t>
        </is>
      </c>
      <c r="G6" s="1" t="inlineStr">
        <is>
          <t xml:space="preserve">/sign-up shows "Registration is closed" with "Back to sign in". /setup shows "Setup is already done" with "Go to the instance"</t>
        </is>
      </c>
      <c r="H6" s="1" t="inlineStr">
        <is>
          <t xml:space="preserve">High</t>
        </is>
      </c>
      <c r="I6" s="1"/>
      <c r="J6" s="5" t="inlineStr">
        <is>
          <t xml:space="preserve">Not Run</t>
        </is>
      </c>
      <c r="K6" s="5"/>
      <c r="L6" s="5"/>
      <c r="M6" s="5"/>
      <c r="N6" s="5"/>
    </row>
    <row r="7">
      <c r="A7" s="3" t="inlineStr">
        <is>
          <t xml:space="preserve">M02 Welcome wizard: Give the new workspace its name, clock, rhythm and starting content. Needs M01 first. About 20 min. Full workflow on the Module Guide sheet.</t>
        </is>
      </c>
      <c r="B7" s="3"/>
      <c r="C7" s="3"/>
      <c r="D7" s="3"/>
      <c r="E7" s="3"/>
      <c r="F7" s="3"/>
      <c r="G7" s="3"/>
      <c r="H7" s="3"/>
      <c r="I7" s="3"/>
      <c r="J7" s="3"/>
      <c r="K7" s="3"/>
      <c r="L7" s="3"/>
      <c r="M7" s="3"/>
      <c r="N7" s="3"/>
    </row>
    <row r="8">
      <c r="A8" s="1" t="inlineStr">
        <is>
          <t xml:space="preserve">M02-01</t>
        </is>
      </c>
      <c r="B8" s="1" t="inlineStr">
        <is>
          <t xml:space="preserve">M02 Welcome wizard</t>
        </is>
      </c>
      <c r="C8" s="1" t="inlineStr">
        <is>
          <t xml:space="preserve">Walk the welcome wizard with the starter template</t>
        </is>
      </c>
      <c r="D8" s="1" t="inlineStr">
        <is>
          <t xml:space="preserve">Admin</t>
        </is>
      </c>
      <c r="E8" s="1" t="inlineStr">
        <is>
          <t xml:space="preserve">Signed in right after M01-03</t>
        </is>
      </c>
      <c r="F8" s="1" t="inlineStr">
        <is>
          <t xml:space="preserve">1. Workspace name: Northwind Labs. Click "Continue"
2. Pick your timezone. Check-in frequency: "Weekly". Click "Continue"
3. Invite step: click "Skip"
4. Template step: choose "OKR starter cycle" and click "Use this template"
5. Worked example step: click "Start empty"</t>
        </is>
      </c>
      <c r="G8" s="1" t="inlineStr">
        <is>
          <t xml:space="preserve">The wizard closes and the work map opens. It shows the objective "Make onboarding the reason new customers stay" with 3 key results</t>
        </is>
      </c>
      <c r="H8" s="1" t="inlineStr">
        <is>
          <t xml:space="preserve">High</t>
        </is>
      </c>
      <c r="I8" s="1" t="inlineStr">
        <is>
          <t xml:space="preserve">Skip the invite here. An invite sent from the wizard never shows its link on screen. M04 invites everybody from Admin, Invitations instead</t>
        </is>
      </c>
      <c r="J8" s="5" t="inlineStr">
        <is>
          <t xml:space="preserve">Not Run</t>
        </is>
      </c>
      <c r="K8" s="5"/>
      <c r="L8" s="5"/>
      <c r="M8" s="5"/>
      <c r="N8" s="5"/>
    </row>
    <row r="9">
      <c r="A9" s="1" t="inlineStr">
        <is>
          <t xml:space="preserve">M02-02</t>
        </is>
      </c>
      <c r="B9" s="1" t="inlineStr">
        <is>
          <t xml:space="preserve">M02 Welcome wizard</t>
        </is>
      </c>
      <c r="C9" s="1" t="inlineStr">
        <is>
          <t xml:space="preserve">The template created its KPI, space content and session</t>
        </is>
      </c>
      <c r="D9" s="1" t="inlineStr">
        <is>
          <t xml:space="preserve">Admin</t>
        </is>
      </c>
      <c r="E9" s="1" t="inlineStr">
        <is>
          <t xml:space="preserve">M02-01 done</t>
        </is>
      </c>
      <c r="F9" s="1" t="inlineStr">
        <is>
          <t xml:space="preserve">1. Open KPIs
2. Open KPIs, Trees
3. Open Sessions</t>
        </is>
      </c>
      <c r="G9" s="1" t="inlineStr">
        <is>
          <t xml:space="preserve">KPIs shows "30-day retention" under category Customer. Trees shows a tree named Retention. Sessions shows "Weekly session" under "Ahead" with the chip "You facilitate"</t>
        </is>
      </c>
      <c r="H9" s="1" t="inlineStr">
        <is>
          <t xml:space="preserve">High</t>
        </is>
      </c>
      <c r="I9" s="1" t="inlineStr">
        <is>
          <t xml:space="preserve">This weekly session is the only one M15 can use. The UI has no way to create another</t>
        </is>
      </c>
      <c r="J9" s="5" t="inlineStr">
        <is>
          <t xml:space="preserve">Not Run</t>
        </is>
      </c>
      <c r="K9" s="5"/>
      <c r="L9" s="5"/>
      <c r="M9" s="5"/>
      <c r="N9" s="5"/>
    </row>
    <row r="10">
      <c r="A10" s="1" t="inlineStr">
        <is>
          <t xml:space="preserve">M02-03</t>
        </is>
      </c>
      <c r="B10" s="1" t="inlineStr">
        <is>
          <t xml:space="preserve">M02 Welcome wizard</t>
        </is>
      </c>
      <c r="C10" s="1" t="inlineStr">
        <is>
          <t xml:space="preserve">The wizard does not come back</t>
        </is>
      </c>
      <c r="D10" s="1" t="inlineStr">
        <is>
          <t xml:space="preserve">Admin</t>
        </is>
      </c>
      <c r="E10" s="1" t="inlineStr">
        <is>
          <t xml:space="preserve">M02-01 done</t>
        </is>
      </c>
      <c r="F10" s="1" t="inlineStr">
        <is>
          <t xml:space="preserve">1. Sign out and sign in again
2. Open /welcome directly</t>
        </is>
      </c>
      <c r="G10" s="1" t="inlineStr">
        <is>
          <t xml:space="preserve">Sign-in lands on the work map. /welcome redirects to /</t>
        </is>
      </c>
      <c r="H10" s="1" t="inlineStr">
        <is>
          <t xml:space="preserve">Medium</t>
        </is>
      </c>
      <c r="I10" s="1"/>
      <c r="J10" s="5" t="inlineStr">
        <is>
          <t xml:space="preserve">Not Run</t>
        </is>
      </c>
      <c r="K10" s="5"/>
      <c r="L10" s="5"/>
      <c r="M10" s="5"/>
      <c r="N10" s="5"/>
    </row>
    <row r="11">
      <c r="A11" s="1" t="inlineStr">
        <is>
          <t xml:space="preserve">M02-04</t>
        </is>
      </c>
      <c r="B11" s="1" t="inlineStr">
        <is>
          <t xml:space="preserve">M02 Welcome wizard</t>
        </is>
      </c>
      <c r="C11" s="1" t="inlineStr">
        <is>
          <t xml:space="preserve">Create the seven persona accounts</t>
        </is>
      </c>
      <c r="D11" s="1" t="inlineStr">
        <is>
          <t xml:space="preserve">Admin (server access)</t>
        </is>
      </c>
      <c r="E11" s="1" t="inlineStr">
        <is>
          <t xml:space="preserve">M02-01 done. The stack runs with deploy/staging/compose.staging.yaml</t>
        </is>
      </c>
      <c r="F11" s="1" t="inlineStr">
        <is>
          <t xml:space="preserve">1. On the staging host run: sh deploy/staging/seed.sh --inbox &lt;the inbox on Personas&gt;
2. Read the list it prints
3. Open People
4. Open Admin, Invitations</t>
        </is>
      </c>
      <c r="G11" s="1" t="inlineStr">
        <is>
          <t xml:space="preserve">The command prints seven addresses and the password. People lists all seven with no title and no manager. Invitations shows one workspace link, 7 uses, status "Revoked"</t>
        </is>
      </c>
      <c r="H11" s="1" t="inlineStr">
        <is>
          <t xml:space="preserve">High</t>
        </is>
      </c>
      <c r="I11" s="1" t="inlineStr">
        <is>
          <t xml:space="preserve">Run it once. A second run changes nothing. It refuses a workspace that already has other people in it</t>
        </is>
      </c>
      <c r="J11" s="5" t="inlineStr">
        <is>
          <t xml:space="preserve">Not Run</t>
        </is>
      </c>
      <c r="K11" s="5"/>
      <c r="L11" s="5"/>
      <c r="M11" s="5"/>
      <c r="N11" s="5"/>
    </row>
    <row r="12">
      <c r="A12" s="1" t="inlineStr">
        <is>
          <t xml:space="preserve">M02-05</t>
        </is>
      </c>
      <c r="B12" s="1" t="inlineStr">
        <is>
          <t xml:space="preserve">M02 Welcome wizard</t>
        </is>
      </c>
      <c r="C12" s="1" t="inlineStr">
        <is>
          <t xml:space="preserve">A persona can sign in</t>
        </is>
      </c>
      <c r="D12" s="1" t="inlineStr">
        <is>
          <t xml:space="preserve">Priya</t>
        </is>
      </c>
      <c r="E12" s="1" t="inlineStr">
        <is>
          <t xml:space="preserve">M02-04 done. A private window</t>
        </is>
      </c>
      <c r="F12" s="1" t="inlineStr">
        <is>
          <t xml:space="preserve">1. Sign in with Priya's address from Personas and the shared password</t>
        </is>
      </c>
      <c r="G12" s="1" t="inlineStr">
        <is>
          <t xml:space="preserve">Priya lands on the work map of Northwind Labs, not on the welcome wizard</t>
        </is>
      </c>
      <c r="H12" s="1" t="inlineStr">
        <is>
          <t xml:space="preserve">High</t>
        </is>
      </c>
      <c r="I12" s="1"/>
      <c r="J12" s="5" t="inlineStr">
        <is>
          <t xml:space="preserve">Not Run</t>
        </is>
      </c>
      <c r="K12" s="5"/>
      <c r="L12" s="5"/>
      <c r="M12" s="5"/>
      <c r="N12" s="5"/>
    </row>
    <row r="13">
      <c r="A13" s="3" t="inlineStr">
        <is>
          <t xml:space="preserve">M03 Workspace settings: Check that workspace settings save, reload and reset. Needs M02 first. About 15 min. Full workflow on the Module Guide sheet.</t>
        </is>
      </c>
      <c r="B13" s="3"/>
      <c r="C13" s="3"/>
      <c r="D13" s="3"/>
      <c r="E13" s="3"/>
      <c r="F13" s="3"/>
      <c r="G13" s="3"/>
      <c r="H13" s="3"/>
      <c r="I13" s="3"/>
      <c r="J13" s="3"/>
      <c r="K13" s="3"/>
      <c r="L13" s="3"/>
      <c r="M13" s="3"/>
      <c r="N13" s="3"/>
    </row>
    <row r="14">
      <c r="A14" s="1" t="inlineStr">
        <is>
          <t xml:space="preserve">M03-01</t>
        </is>
      </c>
      <c r="B14" s="1" t="inlineStr">
        <is>
          <t xml:space="preserve">M03 Workspace settings</t>
        </is>
      </c>
      <c r="C14" s="1" t="inlineStr">
        <is>
          <t xml:space="preserve">Save and reload general settings</t>
        </is>
      </c>
      <c r="D14" s="1" t="inlineStr">
        <is>
          <t xml:space="preserve">Admin</t>
        </is>
      </c>
      <c r="E14" s="1" t="inlineStr">
        <is>
          <t xml:space="preserve">Signed in</t>
        </is>
      </c>
      <c r="F14" s="1" t="inlineStr">
        <is>
          <t xml:space="preserve">1. Open Admin, General
2. Set "Timezone" and "Language"
3. Click "Save"
4. Reload the page</t>
        </is>
      </c>
      <c r="G14" s="1" t="inlineStr">
        <is>
          <t xml:space="preserve">The values you saved are still there after the reload</t>
        </is>
      </c>
      <c r="H14" s="1" t="inlineStr">
        <is>
          <t xml:space="preserve">High</t>
        </is>
      </c>
      <c r="I14" s="1"/>
      <c r="J14" s="5" t="inlineStr">
        <is>
          <t xml:space="preserve">Not Run</t>
        </is>
      </c>
      <c r="K14" s="5"/>
      <c r="L14" s="5"/>
      <c r="M14" s="5"/>
      <c r="N14" s="5"/>
    </row>
    <row r="15">
      <c r="A15" s="1" t="inlineStr">
        <is>
          <t xml:space="preserve">M03-02</t>
        </is>
      </c>
      <c r="B15" s="1" t="inlineStr">
        <is>
          <t xml:space="preserve">M03 Workspace settings</t>
        </is>
      </c>
      <c r="C15" s="1" t="inlineStr">
        <is>
          <t xml:space="preserve">The console mail warning is visible</t>
        </is>
      </c>
      <c r="D15" s="1" t="inlineStr">
        <is>
          <t xml:space="preserve">Admin</t>
        </is>
      </c>
      <c r="E15" s="1" t="inlineStr">
        <is>
          <t xml:space="preserve">Instance has no SMTP settings</t>
        </is>
      </c>
      <c r="F15" s="1" t="inlineStr">
        <is>
          <t xml:space="preserve">1. Open Admin, General</t>
        </is>
      </c>
      <c r="G15" s="1" t="inlineStr">
        <is>
          <t xml:space="preserve">A banner says "Every message is going to the log, not to anybody"</t>
        </is>
      </c>
      <c r="H15" s="1" t="inlineStr">
        <is>
          <t xml:space="preserve">Medium</t>
        </is>
      </c>
      <c r="I15" s="1" t="inlineStr">
        <is>
          <t xml:space="preserve">If SMTP or Mailpit is already set up, mark N/A</t>
        </is>
      </c>
      <c r="J15" s="5" t="inlineStr">
        <is>
          <t xml:space="preserve">Not Run</t>
        </is>
      </c>
      <c r="K15" s="5"/>
      <c r="L15" s="5"/>
      <c r="M15" s="5"/>
      <c r="N15" s="5"/>
    </row>
    <row r="16">
      <c r="A16" s="1" t="inlineStr">
        <is>
          <t xml:space="preserve">M03-03</t>
        </is>
      </c>
      <c r="B16" s="1" t="inlineStr">
        <is>
          <t xml:space="preserve">M03 Workspace settings</t>
        </is>
      </c>
      <c r="C16" s="1" t="inlineStr">
        <is>
          <t xml:space="preserve">Reset general settings to defaults</t>
        </is>
      </c>
      <c r="D16" s="1" t="inlineStr">
        <is>
          <t xml:space="preserve">Admin</t>
        </is>
      </c>
      <c r="E16" s="1" t="inlineStr">
        <is>
          <t xml:space="preserve">M03-01 done</t>
        </is>
      </c>
      <c r="F16" s="1" t="inlineStr">
        <is>
          <t xml:space="preserve">1. Change a value
2. Click "Reset to defaults"
3. Confirm</t>
        </is>
      </c>
      <c r="G16" s="1" t="inlineStr">
        <is>
          <t xml:space="preserve">Every field returns to its default value</t>
        </is>
      </c>
      <c r="H16" s="1" t="inlineStr">
        <is>
          <t xml:space="preserve">Low</t>
        </is>
      </c>
      <c r="I16" s="1"/>
      <c r="J16" s="5" t="inlineStr">
        <is>
          <t xml:space="preserve">Not Run</t>
        </is>
      </c>
      <c r="K16" s="5"/>
      <c r="L16" s="5"/>
      <c r="M16" s="5"/>
      <c r="N16" s="5"/>
    </row>
    <row r="17">
      <c r="A17" s="1" t="inlineStr">
        <is>
          <t xml:space="preserve">M03-04</t>
        </is>
      </c>
      <c r="B17" s="1" t="inlineStr">
        <is>
          <t xml:space="preserve">M03 Workspace settings</t>
        </is>
      </c>
      <c r="C17" s="1" t="inlineStr">
        <is>
          <t xml:space="preserve">Brand colour applies across the app</t>
        </is>
      </c>
      <c r="D17" s="1" t="inlineStr">
        <is>
          <t xml:space="preserve">Admin</t>
        </is>
      </c>
      <c r="E17" s="1" t="inlineStr">
        <is>
          <t xml:space="preserve">Signed in</t>
        </is>
      </c>
      <c r="F17" s="1" t="inlineStr">
        <is>
          <t xml:space="preserve">1. Open Admin, Branding
2. Type #336699 in "Primary colour (hex)"
3. Click "Save"
4. Open the work map
5. Try the value blue and save</t>
        </is>
      </c>
      <c r="G17" s="1" t="inlineStr">
        <is>
          <t xml:space="preserve">The primary colour changes on buttons and links. The value blue is refused with a message. Write the message in Actual result</t>
        </is>
      </c>
      <c r="H17" s="1" t="inlineStr">
        <is>
          <t xml:space="preserve">Low</t>
        </is>
      </c>
      <c r="I17" s="1"/>
      <c r="J17" s="5" t="inlineStr">
        <is>
          <t xml:space="preserve">Not Run</t>
        </is>
      </c>
      <c r="K17" s="5"/>
      <c r="L17" s="5"/>
      <c r="M17" s="5"/>
      <c r="N17" s="5"/>
    </row>
    <row r="18">
      <c r="A18" s="1" t="inlineStr">
        <is>
          <t xml:space="preserve">M03-05</t>
        </is>
      </c>
      <c r="B18" s="1" t="inlineStr">
        <is>
          <t xml:space="preserve">M03 Workspace settings</t>
        </is>
      </c>
      <c r="C18" s="1" t="inlineStr">
        <is>
          <t xml:space="preserve">Rhythm settings show the value in force</t>
        </is>
      </c>
      <c r="D18" s="1" t="inlineStr">
        <is>
          <t xml:space="preserve">Admin</t>
        </is>
      </c>
      <c r="E18" s="1" t="inlineStr">
        <is>
          <t xml:space="preserve">Signed in</t>
        </is>
      </c>
      <c r="F18" s="1" t="inlineStr">
        <is>
          <t xml:space="preserve">1. Open Admin, Rhythm and thresholds
2. Look at each group card
3. Set "Check-in frequency" to weekly and "Anchor day" to Monday
4. Click "Save"</t>
        </is>
      </c>
      <c r="G18" s="1" t="inlineStr">
        <is>
          <t xml:space="preserve">Every field shows "in force: &lt;value&gt;". After saving, the new values show as in force</t>
        </is>
      </c>
      <c r="H18" s="1" t="inlineStr">
        <is>
          <t xml:space="preserve">High</t>
        </is>
      </c>
      <c r="I18" s="1"/>
      <c r="J18" s="5" t="inlineStr">
        <is>
          <t xml:space="preserve">Not Run</t>
        </is>
      </c>
      <c r="K18" s="5"/>
      <c r="L18" s="5"/>
      <c r="M18" s="5"/>
      <c r="N18" s="5"/>
    </row>
    <row r="19">
      <c r="A19" s="1" t="inlineStr">
        <is>
          <t xml:space="preserve">M03-06</t>
        </is>
      </c>
      <c r="B19" s="1" t="inlineStr">
        <is>
          <t xml:space="preserve">M03 Workspace settings</t>
        </is>
      </c>
      <c r="C19" s="1" t="inlineStr">
        <is>
          <t xml:space="preserve">Rename a concept in Terminology</t>
        </is>
      </c>
      <c r="D19" s="1" t="inlineStr">
        <is>
          <t xml:space="preserve">Admin</t>
        </is>
      </c>
      <c r="E19" s="1" t="inlineStr">
        <is>
          <t xml:space="preserve">Signed in</t>
        </is>
      </c>
      <c r="F19" s="1" t="inlineStr">
        <is>
          <t xml:space="preserve">1. Open Admin, Rhythm and thresholds, Terminology
2. Rename Objective to Goal (singular and plural)
3. Save and open the work map
4. Set it back afterwards</t>
        </is>
      </c>
      <c r="G19" s="1" t="inlineStr">
        <is>
          <t xml:space="preserve">Screens use the new word. After setting it back, the old word returns</t>
        </is>
      </c>
      <c r="H19" s="1" t="inlineStr">
        <is>
          <t xml:space="preserve">Low</t>
        </is>
      </c>
      <c r="I19" s="1"/>
      <c r="J19" s="5" t="inlineStr">
        <is>
          <t xml:space="preserve">Not Run</t>
        </is>
      </c>
      <c r="K19" s="5"/>
      <c r="L19" s="5"/>
      <c r="M19" s="5"/>
      <c r="N19" s="5"/>
    </row>
    <row r="20">
      <c r="A20" s="3" t="inlineStr">
        <is>
          <t xml:space="preserve">M04 Invitations: Check the invitation path with spare people, since the personas were seeded. Needs M02 first. About 15 min. Full workflow on the Module Guide sheet.</t>
        </is>
      </c>
      <c r="B20" s="3"/>
      <c r="C20" s="3"/>
      <c r="D20" s="3"/>
      <c r="E20" s="3"/>
      <c r="F20" s="3"/>
      <c r="G20" s="3"/>
      <c r="H20" s="3"/>
      <c r="I20" s="3"/>
      <c r="J20" s="3"/>
      <c r="K20" s="3"/>
      <c r="L20" s="3"/>
      <c r="M20" s="3"/>
      <c r="N20" s="3"/>
    </row>
    <row r="21">
      <c r="A21" s="1" t="inlineStr">
        <is>
          <t xml:space="preserve">M04-01</t>
        </is>
      </c>
      <c r="B21" s="1" t="inlineStr">
        <is>
          <t xml:space="preserve">M04 Invitations</t>
        </is>
      </c>
      <c r="C21" s="1" t="inlineStr">
        <is>
          <t xml:space="preserve">Send a personal invitation</t>
        </is>
      </c>
      <c r="D21" s="1" t="inlineStr">
        <is>
          <t xml:space="preserve">Admin</t>
        </is>
      </c>
      <c r="E21" s="1" t="inlineStr">
        <is>
          <t xml:space="preserve">M02-04 done. Spare address: the inbox from Personas with +leaver</t>
        </is>
      </c>
      <c r="F21" s="1" t="inlineStr">
        <is>
          <t xml:space="preserve">1. Open Admin, Invitations
2. In "Invite one person" type the +leaver address
3. Keep "Expires in days" at 14
4. Click "Create the invitation"</t>
        </is>
      </c>
      <c r="G21" s="1" t="inlineStr">
        <is>
          <t xml:space="preserve">A box says "Copy this now. It is not shown again." and shows the link. The "Issued" card lists the row with status "Open"</t>
        </is>
      </c>
      <c r="H21" s="1" t="inlineStr">
        <is>
          <t xml:space="preserve">High</t>
        </is>
      </c>
      <c r="I21" s="1" t="inlineStr">
        <is>
          <t xml:space="preserve">Copy the link into a notepad. With SMTP set up the mail also arrives in the shared inbox</t>
        </is>
      </c>
      <c r="J21" s="5" t="inlineStr">
        <is>
          <t xml:space="preserve">Not Run</t>
        </is>
      </c>
      <c r="K21" s="5"/>
      <c r="L21" s="5"/>
      <c r="M21" s="5"/>
      <c r="N21" s="5"/>
    </row>
    <row r="22">
      <c r="A22" s="1" t="inlineStr">
        <is>
          <t xml:space="preserve">M04-02</t>
        </is>
      </c>
      <c r="B22" s="1" t="inlineStr">
        <is>
          <t xml:space="preserve">M04 Invitations</t>
        </is>
      </c>
      <c r="C22" s="1" t="inlineStr">
        <is>
          <t xml:space="preserve">Accept an invitation as a new person</t>
        </is>
      </c>
      <c r="D22" s="1" t="inlineStr">
        <is>
          <t xml:space="preserve">Test Leaver (spare)</t>
        </is>
      </c>
      <c r="E22" s="1" t="inlineStr">
        <is>
          <t xml:space="preserve">M04-01 done. Use a private window</t>
        </is>
      </c>
      <c r="F22" s="1" t="inlineStr">
        <is>
          <t xml:space="preserve">1. Open the invitation link
2. Click "Create an account"
3. Sign up with the +leaver address, name Test Leaver, and a 12+ character password</t>
        </is>
      </c>
      <c r="G22" s="1" t="inlineStr">
        <is>
          <t xml:space="preserve">The join page says "You have been invited to Northwind Labs". After sign-up Test Leaver is inside the workspace. On Admin, Invitations the row now shows "Used up"</t>
        </is>
      </c>
      <c r="H22" s="1" t="inlineStr">
        <is>
          <t xml:space="preserve">High</t>
        </is>
      </c>
      <c r="I22" s="1" t="inlineStr">
        <is>
          <t xml:space="preserve">Keep this account. M19-05 erases it</t>
        </is>
      </c>
      <c r="J22" s="5" t="inlineStr">
        <is>
          <t xml:space="preserve">Not Run</t>
        </is>
      </c>
      <c r="K22" s="5"/>
      <c r="L22" s="5"/>
      <c r="M22" s="5"/>
      <c r="N22" s="5"/>
    </row>
    <row r="23">
      <c r="A23" s="1" t="inlineStr">
        <is>
          <t xml:space="preserve">M04-03</t>
        </is>
      </c>
      <c r="B23" s="1" t="inlineStr">
        <is>
          <t xml:space="preserve">M04 Invitations</t>
        </is>
      </c>
      <c r="C23" s="1" t="inlineStr">
        <is>
          <t xml:space="preserve">An invitation refuses a different email address</t>
        </is>
      </c>
      <c r="D23" s="1" t="inlineStr">
        <is>
          <t xml:space="preserve">Nobody (signed out)</t>
        </is>
      </c>
      <c r="E23" s="1" t="inlineStr">
        <is>
          <t xml:space="preserve">Admin created a personal invitation for the +wrong address</t>
        </is>
      </c>
      <c r="F23" s="1" t="inlineStr">
        <is>
          <t xml:space="preserve">1. Open that link in a private window
2. Click "Create an account"
3. Sign up with the +other address instead</t>
        </is>
      </c>
      <c r="G23" s="1" t="inlineStr">
        <is>
          <t xml:space="preserve">The page warns "This invitation was issued to a different address, so it will be refused" and joining is refused</t>
        </is>
      </c>
      <c r="H23" s="1" t="inlineStr">
        <is>
          <t xml:space="preserve">High</t>
        </is>
      </c>
      <c r="I23" s="1"/>
      <c r="J23" s="5" t="inlineStr">
        <is>
          <t xml:space="preserve">Not Run</t>
        </is>
      </c>
      <c r="K23" s="5"/>
      <c r="L23" s="5"/>
      <c r="M23" s="5"/>
      <c r="N23" s="5"/>
    </row>
    <row r="24">
      <c r="A24" s="1" t="inlineStr">
        <is>
          <t xml:space="preserve">M04-04</t>
        </is>
      </c>
      <c r="B24" s="1" t="inlineStr">
        <is>
          <t xml:space="preserve">M04 Invitations</t>
        </is>
      </c>
      <c r="C24" s="1" t="inlineStr">
        <is>
          <t xml:space="preserve">Invite people with a shared link</t>
        </is>
      </c>
      <c r="D24" s="1" t="inlineStr">
        <is>
          <t xml:space="preserve">Admin</t>
        </is>
      </c>
      <c r="E24" s="1" t="inlineStr">
        <is>
          <t xml:space="preserve">Signed in</t>
        </is>
      </c>
      <c r="F24" s="1" t="inlineStr">
        <is>
          <t xml:space="preserve">1. In "Create a link to share" set "Maximum uses" to 2 and "Allowed domains" to the inbox's domain
2. Click "Create the link"
3. Open the link twice in separate private windows and sign up as +guest1 and +guest2</t>
        </is>
      </c>
      <c r="G24" s="1" t="inlineStr">
        <is>
          <t xml:space="preserve">Both join. The row shows 2 uses and then "Used up"</t>
        </is>
      </c>
      <c r="H24" s="1" t="inlineStr">
        <is>
          <t xml:space="preserve">High</t>
        </is>
      </c>
      <c r="I24" s="1" t="inlineStr">
        <is>
          <t xml:space="preserve">The seven personas were not invited this way, so their sign-in is tested in M05, not here</t>
        </is>
      </c>
      <c r="J24" s="5" t="inlineStr">
        <is>
          <t xml:space="preserve">Not Run</t>
        </is>
      </c>
      <c r="K24" s="5"/>
      <c r="L24" s="5"/>
      <c r="M24" s="5"/>
      <c r="N24" s="5"/>
    </row>
    <row r="25">
      <c r="A25" s="1" t="inlineStr">
        <is>
          <t xml:space="preserve">M04-05</t>
        </is>
      </c>
      <c r="B25" s="1" t="inlineStr">
        <is>
          <t xml:space="preserve">M04 Invitations</t>
        </is>
      </c>
      <c r="C25" s="1" t="inlineStr">
        <is>
          <t xml:space="preserve">A shared link refuses a domain outside the list</t>
        </is>
      </c>
      <c r="D25" s="1" t="inlineStr">
        <is>
          <t xml:space="preserve">Nobody (signed out)</t>
        </is>
      </c>
      <c r="E25" s="1" t="inlineStr">
        <is>
          <t xml:space="preserve">M04-04 link still has uses left, or create a new one</t>
        </is>
      </c>
      <c r="F25" s="1" t="inlineStr">
        <is>
          <t xml:space="preserve">1. Open the link
2. Sign up with an email from another domain</t>
        </is>
      </c>
      <c r="G25" s="1" t="inlineStr">
        <is>
          <t xml:space="preserve">Joining is refused. No new member appears in People</t>
        </is>
      </c>
      <c r="H25" s="1" t="inlineStr">
        <is>
          <t xml:space="preserve">Medium</t>
        </is>
      </c>
      <c r="I25" s="1"/>
      <c r="J25" s="5" t="inlineStr">
        <is>
          <t xml:space="preserve">Not Run</t>
        </is>
      </c>
      <c r="K25" s="5"/>
      <c r="L25" s="5"/>
      <c r="M25" s="5"/>
      <c r="N25" s="5"/>
    </row>
    <row r="26">
      <c r="A26" s="1" t="inlineStr">
        <is>
          <t xml:space="preserve">M04-06</t>
        </is>
      </c>
      <c r="B26" s="1" t="inlineStr">
        <is>
          <t xml:space="preserve">M04 Invitations</t>
        </is>
      </c>
      <c r="C26" s="1" t="inlineStr">
        <is>
          <t xml:space="preserve">Revoke an invitation</t>
        </is>
      </c>
      <c r="D26" s="1" t="inlineStr">
        <is>
          <t xml:space="preserve">Admin</t>
        </is>
      </c>
      <c r="E26" s="1" t="inlineStr">
        <is>
          <t xml:space="preserve">Signed in</t>
        </is>
      </c>
      <c r="F26" s="1" t="inlineStr">
        <is>
          <t xml:space="preserve">1. Create a personal invitation for a spare email
2. Click "Revoke" on its row and confirm
3. Open the revoked link in a private window</t>
        </is>
      </c>
      <c r="G26" s="1" t="inlineStr">
        <is>
          <t xml:space="preserve">The row shows "Revoked". The link page says "That invitation cannot be used" with "Sign in instead"</t>
        </is>
      </c>
      <c r="H26" s="1" t="inlineStr">
        <is>
          <t xml:space="preserve">High</t>
        </is>
      </c>
      <c r="I26" s="1"/>
      <c r="J26" s="5" t="inlineStr">
        <is>
          <t xml:space="preserve">Not Run</t>
        </is>
      </c>
      <c r="K26" s="5"/>
      <c r="L26" s="5"/>
      <c r="M26" s="5"/>
      <c r="N26" s="5"/>
    </row>
    <row r="27">
      <c r="A27" s="1" t="inlineStr">
        <is>
          <t xml:space="preserve">M04-07</t>
        </is>
      </c>
      <c r="B27" s="1" t="inlineStr">
        <is>
          <t xml:space="preserve">M04 Invitations</t>
        </is>
      </c>
      <c r="C27" s="1" t="inlineStr">
        <is>
          <t xml:space="preserve">A made-up invitation link is refused</t>
        </is>
      </c>
      <c r="D27" s="1" t="inlineStr">
        <is>
          <t xml:space="preserve">Nobody (signed out)</t>
        </is>
      </c>
      <c r="E27" s="1" t="inlineStr">
        <is>
          <t xml:space="preserve">None</t>
        </is>
      </c>
      <c r="F27" s="1" t="inlineStr">
        <is>
          <t xml:space="preserve">1. Open /join/abc123</t>
        </is>
      </c>
      <c r="G27" s="1" t="inlineStr">
        <is>
          <t xml:space="preserve">"That invitation cannot be used"</t>
        </is>
      </c>
      <c r="H27" s="1" t="inlineStr">
        <is>
          <t xml:space="preserve">Low</t>
        </is>
      </c>
      <c r="I27" s="1"/>
      <c r="J27" s="5" t="inlineStr">
        <is>
          <t xml:space="preserve">Not Run</t>
        </is>
      </c>
      <c r="K27" s="5"/>
      <c r="L27" s="5"/>
      <c r="M27" s="5"/>
      <c r="N27" s="5"/>
    </row>
    <row r="28">
      <c r="A28" s="3" t="inlineStr">
        <is>
          <t xml:space="preserve">M05 Sign-in and account security: Prove sign-in, password reset and the second factor protect an account. Needs M02 first. About 30 min. Full workflow on the Module Guide sheet.</t>
        </is>
      </c>
      <c r="B28" s="3"/>
      <c r="C28" s="3"/>
      <c r="D28" s="3"/>
      <c r="E28" s="3"/>
      <c r="F28" s="3"/>
      <c r="G28" s="3"/>
      <c r="H28" s="3"/>
      <c r="I28" s="3"/>
      <c r="J28" s="3"/>
      <c r="K28" s="3"/>
      <c r="L28" s="3"/>
      <c r="M28" s="3"/>
      <c r="N28" s="3"/>
    </row>
    <row r="29">
      <c r="A29" s="1" t="inlineStr">
        <is>
          <t xml:space="preserve">M05-01</t>
        </is>
      </c>
      <c r="B29" s="1" t="inlineStr">
        <is>
          <t xml:space="preserve">M05 Sign-in and account security</t>
        </is>
      </c>
      <c r="C29" s="1" t="inlineStr">
        <is>
          <t xml:space="preserve">Wrong password is refused</t>
        </is>
      </c>
      <c r="D29" s="1" t="inlineStr">
        <is>
          <t xml:space="preserve">Jonas</t>
        </is>
      </c>
      <c r="E29" s="1" t="inlineStr">
        <is>
          <t xml:space="preserve">Signed out</t>
        </is>
      </c>
      <c r="F29" s="1" t="inlineStr">
        <is>
          <t xml:space="preserve">1. Open /sign-in
2. Type Jonas's email and a wrong password
3. Click "Sign in"</t>
        </is>
      </c>
      <c r="G29" s="1" t="inlineStr">
        <is>
          <t xml:space="preserve">"Those details did not match. Check them and try again."</t>
        </is>
      </c>
      <c r="H29" s="1" t="inlineStr">
        <is>
          <t xml:space="preserve">High</t>
        </is>
      </c>
      <c r="I29" s="1"/>
      <c r="J29" s="5" t="inlineStr">
        <is>
          <t xml:space="preserve">Not Run</t>
        </is>
      </c>
      <c r="K29" s="5"/>
      <c r="L29" s="5"/>
      <c r="M29" s="5"/>
      <c r="N29" s="5"/>
    </row>
    <row r="30">
      <c r="A30" s="1" t="inlineStr">
        <is>
          <t xml:space="preserve">M05-02</t>
        </is>
      </c>
      <c r="B30" s="1" t="inlineStr">
        <is>
          <t xml:space="preserve">M05 Sign-in and account security</t>
        </is>
      </c>
      <c r="C30" s="1" t="inlineStr">
        <is>
          <t xml:space="preserve">Sign in and sign out</t>
        </is>
      </c>
      <c r="D30" s="1" t="inlineStr">
        <is>
          <t xml:space="preserve">Jonas</t>
        </is>
      </c>
      <c r="E30" s="1" t="inlineStr">
        <is>
          <t xml:space="preserve">Signed out</t>
        </is>
      </c>
      <c r="F30" s="1" t="inlineStr">
        <is>
          <t xml:space="preserve">1. Sign in with the right password
2. Sign out</t>
        </is>
      </c>
      <c r="G30" s="1" t="inlineStr">
        <is>
          <t xml:space="preserve">Sign-in lands on the work map. Sign-out returns to the sign-in page. Pressing Back does not show workspace data</t>
        </is>
      </c>
      <c r="H30" s="1" t="inlineStr">
        <is>
          <t xml:space="preserve">High</t>
        </is>
      </c>
      <c r="I30" s="1"/>
      <c r="J30" s="5" t="inlineStr">
        <is>
          <t xml:space="preserve">Not Run</t>
        </is>
      </c>
      <c r="K30" s="5"/>
      <c r="L30" s="5"/>
      <c r="M30" s="5"/>
      <c r="N30" s="5"/>
    </row>
    <row r="31">
      <c r="A31" s="1" t="inlineStr">
        <is>
          <t xml:space="preserve">M05-03</t>
        </is>
      </c>
      <c r="B31" s="1" t="inlineStr">
        <is>
          <t xml:space="preserve">M05 Sign-in and account security</t>
        </is>
      </c>
      <c r="C31" s="1" t="inlineStr">
        <is>
          <t xml:space="preserve">Reset a forgotten password</t>
        </is>
      </c>
      <c r="D31" s="1" t="inlineStr">
        <is>
          <t xml:space="preserve">Mei</t>
        </is>
      </c>
      <c r="E31" s="1" t="inlineStr">
        <is>
          <t xml:space="preserve">Signed out. SMTP or Mailpit set up, and access to the shared inbox</t>
        </is>
      </c>
      <c r="F31" s="1" t="inlineStr">
        <is>
          <t xml:space="preserve">1. Click "Forgot your password?"
2. Type Mei's email and click "Send reset link"
3. Open the reset link from the mail
4. Type a new password in "New password" and click "Set password"
5. Sign in with the new password</t>
        </is>
      </c>
      <c r="G31" s="1" t="inlineStr">
        <is>
          <t xml:space="preserve">"Check your email" appears. The link opens "Choose a new password". Sign-in works with the new password and not with the old one</t>
        </is>
      </c>
      <c r="H31" s="1" t="inlineStr">
        <is>
          <t xml:space="preserve">High</t>
        </is>
      </c>
      <c r="I31" s="1" t="inlineStr">
        <is>
          <t xml:space="preserve">The mail goes to the +mei plus-address, so it lands in the shared inbox. Without SMTP it is only in the server log</t>
        </is>
      </c>
      <c r="J31" s="5" t="inlineStr">
        <is>
          <t xml:space="preserve">Not Run</t>
        </is>
      </c>
      <c r="K31" s="5"/>
      <c r="L31" s="5"/>
      <c r="M31" s="5"/>
      <c r="N31" s="5"/>
    </row>
    <row r="32">
      <c r="A32" s="1" t="inlineStr">
        <is>
          <t xml:space="preserve">M05-04</t>
        </is>
      </c>
      <c r="B32" s="1" t="inlineStr">
        <is>
          <t xml:space="preserve">M05 Sign-in and account security</t>
        </is>
      </c>
      <c r="C32" s="1" t="inlineStr">
        <is>
          <t xml:space="preserve">A used reset link cannot be used again</t>
        </is>
      </c>
      <c r="D32" s="1" t="inlineStr">
        <is>
          <t xml:space="preserve">Mei</t>
        </is>
      </c>
      <c r="E32" s="1" t="inlineStr">
        <is>
          <t xml:space="preserve">M05-03 done</t>
        </is>
      </c>
      <c r="F32" s="1" t="inlineStr">
        <is>
          <t xml:space="preserve">1. Open the same reset link again
2. Try to set a password</t>
        </is>
      </c>
      <c r="G32" s="1" t="inlineStr">
        <is>
          <t xml:space="preserve">"That link has expired or was already used. Ask for a new one."</t>
        </is>
      </c>
      <c r="H32" s="1" t="inlineStr">
        <is>
          <t xml:space="preserve">Medium</t>
        </is>
      </c>
      <c r="I32" s="1"/>
      <c r="J32" s="5" t="inlineStr">
        <is>
          <t xml:space="preserve">Not Run</t>
        </is>
      </c>
      <c r="K32" s="5"/>
      <c r="L32" s="5"/>
      <c r="M32" s="5"/>
      <c r="N32" s="5"/>
    </row>
    <row r="33">
      <c r="A33" s="1" t="inlineStr">
        <is>
          <t xml:space="preserve">M05-05</t>
        </is>
      </c>
      <c r="B33" s="1" t="inlineStr">
        <is>
          <t xml:space="preserve">M05 Sign-in and account security</t>
        </is>
      </c>
      <c r="C33" s="1" t="inlineStr">
        <is>
          <t xml:space="preserve">Turn on one-time codes (2FA)</t>
        </is>
      </c>
      <c r="D33" s="1" t="inlineStr">
        <is>
          <t xml:space="preserve">Amara</t>
        </is>
      </c>
      <c r="E33" s="1" t="inlineStr">
        <is>
          <t xml:space="preserve">Signed in. An authenticator app that accepts a pasted otpauth link (Google Authenticator, 1Password, Authy)</t>
        </is>
      </c>
      <c r="F33" s="1" t="inlineStr">
        <is>
          <t xml:space="preserve">1. Open Account, Security
2. Type the password in "Confirm your password" and click "Set up one-time codes"
3. Add the shown otpauth text to the authenticator app
4. Save the backup codes somewhere
5. Type the code in "Code from your app" and click "Turn on"</t>
        </is>
      </c>
      <c r="G33" s="1" t="inlineStr">
        <is>
          <t xml:space="preserve">2FA is on. The backup codes were shown once</t>
        </is>
      </c>
      <c r="H33" s="1" t="inlineStr">
        <is>
          <t xml:space="preserve">High</t>
        </is>
      </c>
      <c r="I33" s="1" t="inlineStr">
        <is>
          <t xml:space="preserve">The screen shows text, not a QR code. There is no button to turn 2FA off again, so use Amara only</t>
        </is>
      </c>
      <c r="J33" s="5" t="inlineStr">
        <is>
          <t xml:space="preserve">Not Run</t>
        </is>
      </c>
      <c r="K33" s="5"/>
      <c r="L33" s="5"/>
      <c r="M33" s="5"/>
      <c r="N33" s="5"/>
    </row>
    <row r="34">
      <c r="A34" s="1" t="inlineStr">
        <is>
          <t xml:space="preserve">M05-06</t>
        </is>
      </c>
      <c r="B34" s="1" t="inlineStr">
        <is>
          <t xml:space="preserve">M05 Sign-in and account security</t>
        </is>
      </c>
      <c r="C34" s="1" t="inlineStr">
        <is>
          <t xml:space="preserve">Sign in with a one-time code</t>
        </is>
      </c>
      <c r="D34" s="1" t="inlineStr">
        <is>
          <t xml:space="preserve">Amara</t>
        </is>
      </c>
      <c r="E34" s="1" t="inlineStr">
        <is>
          <t xml:space="preserve">M05-05 done. Signed out</t>
        </is>
      </c>
      <c r="F34" s="1" t="inlineStr">
        <is>
          <t xml:space="preserve">1. Sign in with email and password
2. On "Enter your code" type a wrong code and click "Verify"
3. Type the right code and click "Verify"</t>
        </is>
      </c>
      <c r="G34" s="1" t="inlineStr">
        <is>
          <t xml:space="preserve">Wrong code: "That code was not right. Codes change every 30 seconds." Right code: signed in</t>
        </is>
      </c>
      <c r="H34" s="1" t="inlineStr">
        <is>
          <t xml:space="preserve">High</t>
        </is>
      </c>
      <c r="I34" s="1"/>
      <c r="J34" s="5" t="inlineStr">
        <is>
          <t xml:space="preserve">Not Run</t>
        </is>
      </c>
      <c r="K34" s="5"/>
      <c r="L34" s="5"/>
      <c r="M34" s="5"/>
      <c r="N34" s="5"/>
    </row>
    <row r="35">
      <c r="A35" s="1" t="inlineStr">
        <is>
          <t xml:space="preserve">M05-07</t>
        </is>
      </c>
      <c r="B35" s="1" t="inlineStr">
        <is>
          <t xml:space="preserve">M05 Sign-in and account security</t>
        </is>
      </c>
      <c r="C35" s="1" t="inlineStr">
        <is>
          <t xml:space="preserve">Sign in with a backup code, once only</t>
        </is>
      </c>
      <c r="D35" s="1" t="inlineStr">
        <is>
          <t xml:space="preserve">Amara</t>
        </is>
      </c>
      <c r="E35" s="1" t="inlineStr">
        <is>
          <t xml:space="preserve">M05-05 done. Signed out</t>
        </is>
      </c>
      <c r="F35" s="1" t="inlineStr">
        <is>
          <t xml:space="preserve">1. Sign in with email and password
2. Open the "backup code page" link
3. Enter one backup code and click "Verify"
4. Sign out and try the same backup code again</t>
        </is>
      </c>
      <c r="G35" s="1" t="inlineStr">
        <is>
          <t xml:space="preserve">First use signs in. Second use: "That backup code was not recognised, or it has been used."</t>
        </is>
      </c>
      <c r="H35" s="1" t="inlineStr">
        <is>
          <t xml:space="preserve">Medium</t>
        </is>
      </c>
      <c r="I35" s="1"/>
      <c r="J35" s="5" t="inlineStr">
        <is>
          <t xml:space="preserve">Not Run</t>
        </is>
      </c>
      <c r="K35" s="5"/>
      <c r="L35" s="5"/>
      <c r="M35" s="5"/>
      <c r="N35" s="5"/>
    </row>
    <row r="36">
      <c r="A36" s="1" t="inlineStr">
        <is>
          <t xml:space="preserve">M05-08</t>
        </is>
      </c>
      <c r="B36" s="1" t="inlineStr">
        <is>
          <t xml:space="preserve">M05 Sign-in and account security</t>
        </is>
      </c>
      <c r="C36" s="1" t="inlineStr">
        <is>
          <t xml:space="preserve">Add a passkey and sign in with it</t>
        </is>
      </c>
      <c r="D36" s="1" t="inlineStr">
        <is>
          <t xml:space="preserve">Sara</t>
        </is>
      </c>
      <c r="E36" s="1" t="inlineStr">
        <is>
          <t xml:space="preserve">A device with Windows Hello, Touch ID or a security key</t>
        </is>
      </c>
      <c r="F36" s="1" t="inlineStr">
        <is>
          <t xml:space="preserve">1. Open Account, Security, click "Add a passkey"
2. Sign out
3. Click "Sign in with a passkey"</t>
        </is>
      </c>
      <c r="G36" s="1" t="inlineStr">
        <is>
          <t xml:space="preserve">The passkey is listed. Sign-in with it works without a password</t>
        </is>
      </c>
      <c r="H36" s="1" t="inlineStr">
        <is>
          <t xml:space="preserve">Low</t>
        </is>
      </c>
      <c r="I36" s="1" t="inlineStr">
        <is>
          <t xml:space="preserve">Mark N/A if the device has no passkey support</t>
        </is>
      </c>
      <c r="J36" s="5" t="inlineStr">
        <is>
          <t xml:space="preserve">Not Run</t>
        </is>
      </c>
      <c r="K36" s="5"/>
      <c r="L36" s="5"/>
      <c r="M36" s="5"/>
      <c r="N36" s="5"/>
    </row>
    <row r="37">
      <c r="A37" s="1" t="inlineStr">
        <is>
          <t xml:space="preserve">M05-09</t>
        </is>
      </c>
      <c r="B37" s="1" t="inlineStr">
        <is>
          <t xml:space="preserve">M05 Sign-in and account security</t>
        </is>
      </c>
      <c r="C37" s="1" t="inlineStr">
        <is>
          <t xml:space="preserve">Revoke another signed-in device</t>
        </is>
      </c>
      <c r="D37" s="1" t="inlineStr">
        <is>
          <t xml:space="preserve">Priya</t>
        </is>
      </c>
      <c r="E37" s="1" t="inlineStr">
        <is>
          <t xml:space="preserve">Priya signed in on two browsers</t>
        </is>
      </c>
      <c r="F37" s="1" t="inlineStr">
        <is>
          <t xml:space="preserve">1. In browser 1 open Account, Security, Sessions
2. Click "Revoke" on the other device
3. Reload browser 2</t>
        </is>
      </c>
      <c r="G37" s="1" t="inlineStr">
        <is>
          <t xml:space="preserve">Browser 2 is signed out</t>
        </is>
      </c>
      <c r="H37" s="1" t="inlineStr">
        <is>
          <t xml:space="preserve">Medium</t>
        </is>
      </c>
      <c r="I37" s="1"/>
      <c r="J37" s="5" t="inlineStr">
        <is>
          <t xml:space="preserve">Not Run</t>
        </is>
      </c>
      <c r="K37" s="5"/>
      <c r="L37" s="5"/>
      <c r="M37" s="5"/>
      <c r="N37" s="5"/>
    </row>
    <row r="38">
      <c r="A38" s="1" t="inlineStr">
        <is>
          <t xml:space="preserve">M05-10</t>
        </is>
      </c>
      <c r="B38" s="1" t="inlineStr">
        <is>
          <t xml:space="preserve">M05 Sign-in and account security</t>
        </is>
      </c>
      <c r="C38" s="1" t="inlineStr">
        <is>
          <t xml:space="preserve">Too many sign-in attempts are slowed down</t>
        </is>
      </c>
      <c r="D38" s="1" t="inlineStr">
        <is>
          <t xml:space="preserve">Jonas</t>
        </is>
      </c>
      <c r="E38" s="1" t="inlineStr">
        <is>
          <t xml:space="preserve">Signed out</t>
        </is>
      </c>
      <c r="F38" s="1" t="inlineStr">
        <is>
          <t xml:space="preserve">1. Try a wrong password about 10 times quickly</t>
        </is>
      </c>
      <c r="G38" s="1" t="inlineStr">
        <is>
          <t xml:space="preserve">"Too many attempts. Wait a minute and try again."</t>
        </is>
      </c>
      <c r="H38" s="1" t="inlineStr">
        <is>
          <t xml:space="preserve">Low</t>
        </is>
      </c>
      <c r="I38" s="1"/>
      <c r="J38" s="5" t="inlineStr">
        <is>
          <t xml:space="preserve">Not Run</t>
        </is>
      </c>
      <c r="K38" s="5"/>
      <c r="L38" s="5"/>
      <c r="M38" s="5"/>
      <c r="N38" s="5"/>
    </row>
    <row r="39">
      <c r="A39" s="3" t="inlineStr">
        <is>
          <t xml:space="preserve">M06 People and org chart: Give everyone a title and a manager so the org chart is real. Needs M02 first. About 20 min. Full workflow on the Module Guide sheet.</t>
        </is>
      </c>
      <c r="B39" s="3"/>
      <c r="C39" s="3"/>
      <c r="D39" s="3"/>
      <c r="E39" s="3"/>
      <c r="F39" s="3"/>
      <c r="G39" s="3"/>
      <c r="H39" s="3"/>
      <c r="I39" s="3"/>
      <c r="J39" s="3"/>
      <c r="K39" s="3"/>
      <c r="L39" s="3"/>
      <c r="M39" s="3"/>
      <c r="N39" s="3"/>
    </row>
    <row r="40">
      <c r="A40" s="1" t="inlineStr">
        <is>
          <t xml:space="preserve">M06-01</t>
        </is>
      </c>
      <c r="B40" s="1" t="inlineStr">
        <is>
          <t xml:space="preserve">M06 People and org chart</t>
        </is>
      </c>
      <c r="C40" s="1" t="inlineStr">
        <is>
          <t xml:space="preserve">Set titles and managers for the cast</t>
        </is>
      </c>
      <c r="D40" s="1" t="inlineStr">
        <is>
          <t xml:space="preserve">Admin</t>
        </is>
      </c>
      <c r="E40" s="1" t="inlineStr">
        <is>
          <t xml:space="preserve">All 7 personas joined</t>
        </is>
      </c>
      <c r="F40" s="1" t="inlineStr">
        <is>
          <t xml:space="preserve">1. Open People, click each persona
2. In "Edit member (admin)" set "Title" and "Manager" from the Personas sheet
3. Click "Save" for each</t>
        </is>
      </c>
      <c r="G40" s="1" t="inlineStr">
        <is>
          <t xml:space="preserve">Each profile shows the title and manager you set</t>
        </is>
      </c>
      <c r="H40" s="1" t="inlineStr">
        <is>
          <t xml:space="preserve">High</t>
        </is>
      </c>
      <c r="I40" s="1"/>
      <c r="J40" s="5" t="inlineStr">
        <is>
          <t xml:space="preserve">Not Run</t>
        </is>
      </c>
      <c r="K40" s="5"/>
      <c r="L40" s="5"/>
      <c r="M40" s="5"/>
      <c r="N40" s="5"/>
    </row>
    <row r="41">
      <c r="A41" s="1" t="inlineStr">
        <is>
          <t xml:space="preserve">M06-02</t>
        </is>
      </c>
      <c r="B41" s="1" t="inlineStr">
        <is>
          <t xml:space="preserve">M06 People and org chart</t>
        </is>
      </c>
      <c r="C41" s="1" t="inlineStr">
        <is>
          <t xml:space="preserve">The org chart draws the reporting lines</t>
        </is>
      </c>
      <c r="D41" s="1" t="inlineStr">
        <is>
          <t xml:space="preserve">Admin</t>
        </is>
      </c>
      <c r="E41" s="1" t="inlineStr">
        <is>
          <t xml:space="preserve">M06-01 done</t>
        </is>
      </c>
      <c r="F41" s="1" t="inlineStr">
        <is>
          <t xml:space="preserve">1. Open People, tab "Org chart"</t>
        </is>
      </c>
      <c r="G41" s="1" t="inlineStr">
        <is>
          <t xml:space="preserve">Admin at the top. Priya with Mei and Sara under her. Daniel with Jonas. Tomas and Amara directly under Admin</t>
        </is>
      </c>
      <c r="H41" s="1" t="inlineStr">
        <is>
          <t xml:space="preserve">High</t>
        </is>
      </c>
      <c r="I41" s="1"/>
      <c r="J41" s="5" t="inlineStr">
        <is>
          <t xml:space="preserve">Not Run</t>
        </is>
      </c>
      <c r="K41" s="5"/>
      <c r="L41" s="5"/>
      <c r="M41" s="5"/>
      <c r="N41" s="5"/>
    </row>
    <row r="42">
      <c r="A42" s="1" t="inlineStr">
        <is>
          <t xml:space="preserve">M06-03</t>
        </is>
      </c>
      <c r="B42" s="1" t="inlineStr">
        <is>
          <t xml:space="preserve">M06 People and org chart</t>
        </is>
      </c>
      <c r="C42" s="1" t="inlineStr">
        <is>
          <t xml:space="preserve">A manager loop is refused</t>
        </is>
      </c>
      <c r="D42" s="1" t="inlineStr">
        <is>
          <t xml:space="preserve">Admin</t>
        </is>
      </c>
      <c r="E42" s="1" t="inlineStr">
        <is>
          <t xml:space="preserve">M06-01 done</t>
        </is>
      </c>
      <c r="F42" s="1" t="inlineStr">
        <is>
          <t xml:space="preserve">1. Open your own profile as Admin
2. Set "Manager" to Sara and save</t>
        </is>
      </c>
      <c r="G42" s="1" t="inlineStr">
        <is>
          <t xml:space="preserve">"That would make a manager chain that loops back on itself."</t>
        </is>
      </c>
      <c r="H42" s="1" t="inlineStr">
        <is>
          <t xml:space="preserve">Medium</t>
        </is>
      </c>
      <c r="I42" s="1"/>
      <c r="J42" s="5" t="inlineStr">
        <is>
          <t xml:space="preserve">Not Run</t>
        </is>
      </c>
      <c r="K42" s="5"/>
      <c r="L42" s="5"/>
      <c r="M42" s="5"/>
      <c r="N42" s="5"/>
    </row>
    <row r="43">
      <c r="A43" s="1" t="inlineStr">
        <is>
          <t xml:space="preserve">M06-04</t>
        </is>
      </c>
      <c r="B43" s="1" t="inlineStr">
        <is>
          <t xml:space="preserve">M06 People and org chart</t>
        </is>
      </c>
      <c r="C43" s="1" t="inlineStr">
        <is>
          <t xml:space="preserve">Search the directory</t>
        </is>
      </c>
      <c r="D43" s="1" t="inlineStr">
        <is>
          <t xml:space="preserve">Jonas</t>
        </is>
      </c>
      <c r="E43" s="1" t="inlineStr">
        <is>
          <t xml:space="preserve">M06-01 done</t>
        </is>
      </c>
      <c r="F43" s="1" t="inlineStr">
        <is>
          <t xml:space="preserve">1. Open People
2. Type Engineering in "Search by name or title"
3. Type zzz</t>
        </is>
      </c>
      <c r="G43" s="1" t="inlineStr">
        <is>
          <t xml:space="preserve">Engineering finds Mei. zzz shows "No members match your search."</t>
        </is>
      </c>
      <c r="H43" s="1" t="inlineStr">
        <is>
          <t xml:space="preserve">Medium</t>
        </is>
      </c>
      <c r="I43" s="1"/>
      <c r="J43" s="5" t="inlineStr">
        <is>
          <t xml:space="preserve">Not Run</t>
        </is>
      </c>
      <c r="K43" s="5"/>
      <c r="L43" s="5"/>
      <c r="M43" s="5"/>
      <c r="N43" s="5"/>
    </row>
    <row r="44">
      <c r="A44" s="1" t="inlineStr">
        <is>
          <t xml:space="preserve">M06-05</t>
        </is>
      </c>
      <c r="B44" s="1" t="inlineStr">
        <is>
          <t xml:space="preserve">M06 People and org chart</t>
        </is>
      </c>
      <c r="C44" s="1" t="inlineStr">
        <is>
          <t xml:space="preserve">The two agents are members</t>
        </is>
      </c>
      <c r="D44" s="1" t="inlineStr">
        <is>
          <t xml:space="preserve">Jonas</t>
        </is>
      </c>
      <c r="E44" s="1" t="inlineStr">
        <is>
          <t xml:space="preserve">None</t>
        </is>
      </c>
      <c r="F44" s="1" t="inlineStr">
        <is>
          <t xml:space="preserve">1. Open People, tab "Directory"</t>
        </is>
      </c>
      <c r="G44" s="1" t="inlineStr">
        <is>
          <t xml:space="preserve">OKR Coach and OKR Champion are listed as members</t>
        </is>
      </c>
      <c r="H44" s="1" t="inlineStr">
        <is>
          <t xml:space="preserve">Medium</t>
        </is>
      </c>
      <c r="I44" s="1"/>
      <c r="J44" s="5" t="inlineStr">
        <is>
          <t xml:space="preserve">Not Run</t>
        </is>
      </c>
      <c r="K44" s="5"/>
      <c r="L44" s="5"/>
      <c r="M44" s="5"/>
      <c r="N44" s="5"/>
    </row>
    <row r="45">
      <c r="A45" s="1" t="inlineStr">
        <is>
          <t xml:space="preserve">M06-06</t>
        </is>
      </c>
      <c r="B45" s="1" t="inlineStr">
        <is>
          <t xml:space="preserve">M06 People and org chart</t>
        </is>
      </c>
      <c r="C45" s="1" t="inlineStr">
        <is>
          <t xml:space="preserve">A member edits their own profile only</t>
        </is>
      </c>
      <c r="D45" s="1" t="inlineStr">
        <is>
          <t xml:space="preserve">Mei</t>
        </is>
      </c>
      <c r="E45" s="1" t="inlineStr">
        <is>
          <t xml:space="preserve">Signed in as Mei</t>
        </is>
      </c>
      <c r="F45" s="1" t="inlineStr">
        <is>
          <t xml:space="preserve">1. Open your own profile, click "Edit your profile"
2. Set Timezone to Asia/Singapore and write a bio, save
3. Open Priya's profile</t>
        </is>
      </c>
      <c r="G45" s="1" t="inlineStr">
        <is>
          <t xml:space="preserve">Mei's profile saves. Priya's profile has no edit controls</t>
        </is>
      </c>
      <c r="H45" s="1" t="inlineStr">
        <is>
          <t xml:space="preserve">High</t>
        </is>
      </c>
      <c r="I45" s="1"/>
      <c r="J45" s="5" t="inlineStr">
        <is>
          <t xml:space="preserve">Not Run</t>
        </is>
      </c>
      <c r="K45" s="5"/>
      <c r="L45" s="5"/>
      <c r="M45" s="5"/>
      <c r="N45" s="5"/>
    </row>
    <row r="46">
      <c r="A46" s="1" t="inlineStr">
        <is>
          <t xml:space="preserve">M06-07</t>
        </is>
      </c>
      <c r="B46" s="1" t="inlineStr">
        <is>
          <t xml:space="preserve">M06 People and org chart</t>
        </is>
      </c>
      <c r="C46" s="1" t="inlineStr">
        <is>
          <t xml:space="preserve">Suspend and restore a member</t>
        </is>
      </c>
      <c r="D46" s="1" t="inlineStr">
        <is>
          <t xml:space="preserve">Admin, then Tomas</t>
        </is>
      </c>
      <c r="E46" s="1" t="inlineStr">
        <is>
          <t xml:space="preserve">M06-01 done</t>
        </is>
      </c>
      <c r="F46" s="1" t="inlineStr">
        <is>
          <t xml:space="preserve">1. Open Tomas's profile, card "Lifecycle", click "Suspend"
2. In Tomas's browser, reload and try to sign in
3. As Admin click "Restore"</t>
        </is>
      </c>
      <c r="G46" s="1" t="inlineStr">
        <is>
          <t xml:space="preserve">Tomas shows the badge "Suspended" and cannot use the workspace. After "Restore" Tomas works again</t>
        </is>
      </c>
      <c r="H46" s="1" t="inlineStr">
        <is>
          <t xml:space="preserve">High</t>
        </is>
      </c>
      <c r="I46" s="1" t="inlineStr">
        <is>
          <t xml:space="preserve">Write in Actual result exactly what Tomas sees while suspended</t>
        </is>
      </c>
      <c r="J46" s="5" t="inlineStr">
        <is>
          <t xml:space="preserve">Not Run</t>
        </is>
      </c>
      <c r="K46" s="5"/>
      <c r="L46" s="5"/>
      <c r="M46" s="5"/>
      <c r="N46" s="5"/>
    </row>
    <row r="47">
      <c r="A47" s="1" t="inlineStr">
        <is>
          <t xml:space="preserve">M06-08</t>
        </is>
      </c>
      <c r="B47" s="1" t="inlineStr">
        <is>
          <t xml:space="preserve">M06 People and org chart</t>
        </is>
      </c>
      <c r="C47" s="1" t="inlineStr">
        <is>
          <t xml:space="preserve">The last full-access member cannot suspend themselves</t>
        </is>
      </c>
      <c r="D47" s="1" t="inlineStr">
        <is>
          <t xml:space="preserve">Admin</t>
        </is>
      </c>
      <c r="E47" s="1" t="inlineStr">
        <is>
          <t xml:space="preserve">None</t>
        </is>
      </c>
      <c r="F47" s="1" t="inlineStr">
        <is>
          <t xml:space="preserve">1. Open your own profile, click "Suspend"</t>
        </is>
      </c>
      <c r="G47" s="1" t="inlineStr">
        <is>
          <t xml:space="preserve">"This is the only member with full access to the workspace. Give someone else full access first."</t>
        </is>
      </c>
      <c r="H47" s="1" t="inlineStr">
        <is>
          <t xml:space="preserve">Medium</t>
        </is>
      </c>
      <c r="I47" s="1"/>
      <c r="J47" s="5" t="inlineStr">
        <is>
          <t xml:space="preserve">Not Run</t>
        </is>
      </c>
      <c r="K47" s="5"/>
      <c r="L47" s="5"/>
      <c r="M47" s="5"/>
      <c r="N47" s="5"/>
    </row>
    <row r="48">
      <c r="A48" s="3" t="inlineStr">
        <is>
          <t xml:space="preserve">M07 Spaces: Create the team homes that own goals, boards and sessions. Needs M06 first. About 20 min. Full workflow on the Module Guide sheet.</t>
        </is>
      </c>
      <c r="B48" s="3"/>
      <c r="C48" s="3"/>
      <c r="D48" s="3"/>
      <c r="E48" s="3"/>
      <c r="F48" s="3"/>
      <c r="G48" s="3"/>
      <c r="H48" s="3"/>
      <c r="I48" s="3"/>
      <c r="J48" s="3"/>
      <c r="K48" s="3"/>
      <c r="L48" s="3"/>
      <c r="M48" s="3"/>
      <c r="N48" s="3"/>
    </row>
    <row r="49">
      <c r="A49" s="1" t="inlineStr">
        <is>
          <t xml:space="preserve">M07-01</t>
        </is>
      </c>
      <c r="B49" s="1" t="inlineStr">
        <is>
          <t xml:space="preserve">M07 Spaces</t>
        </is>
      </c>
      <c r="C49" s="1" t="inlineStr">
        <is>
          <t xml:space="preserve">Create the team spaces</t>
        </is>
      </c>
      <c r="D49" s="1" t="inlineStr">
        <is>
          <t xml:space="preserve">Admin</t>
        </is>
      </c>
      <c r="E49" s="1" t="inlineStr">
        <is>
          <t xml:space="preserve">M06-01 done</t>
        </is>
      </c>
      <c r="F49" s="1" t="inlineStr">
        <is>
          <t xml:space="preserve">1. Open Spaces
2. In "Create a space" create Product (manager Priya), Sales (manager Daniel) and Customer Success (manager Tomas), each with a mission
3. Click "Create the space" for each</t>
        </is>
      </c>
      <c r="G49" s="1" t="inlineStr">
        <is>
          <t xml:space="preserve">The three spaces are listed with their managers</t>
        </is>
      </c>
      <c r="H49" s="1" t="inlineStr">
        <is>
          <t xml:space="preserve">High</t>
        </is>
      </c>
      <c r="I49" s="1"/>
      <c r="J49" s="5" t="inlineStr">
        <is>
          <t xml:space="preserve">Not Run</t>
        </is>
      </c>
      <c r="K49" s="5"/>
      <c r="L49" s="5"/>
      <c r="M49" s="5"/>
      <c r="N49" s="5"/>
    </row>
    <row r="50">
      <c r="A50" s="1" t="inlineStr">
        <is>
          <t xml:space="preserve">M07-02</t>
        </is>
      </c>
      <c r="B50" s="1" t="inlineStr">
        <is>
          <t xml:space="preserve">M07 Spaces</t>
        </is>
      </c>
      <c r="C50" s="1" t="inlineStr">
        <is>
          <t xml:space="preserve">Add members to a space with a role</t>
        </is>
      </c>
      <c r="D50" s="1" t="inlineStr">
        <is>
          <t xml:space="preserve">Priya</t>
        </is>
      </c>
      <c r="E50" s="1" t="inlineStr">
        <is>
          <t xml:space="preserve">M07-01 done. Priya is the Product manager</t>
        </is>
      </c>
      <c r="F50" s="1" t="inlineStr">
        <is>
          <t xml:space="preserve">1. Open Spaces, Product
2. In "Manage this space" click "Add somebody"
3. Add Sara "As" Coordinator and Mei "As" Member</t>
        </is>
      </c>
      <c r="G50" s="1" t="inlineStr">
        <is>
          <t xml:space="preserve">"Members (n)" goes up and shows each person's role</t>
        </is>
      </c>
      <c r="H50" s="1" t="inlineStr">
        <is>
          <t xml:space="preserve">High</t>
        </is>
      </c>
      <c r="I50" s="1"/>
      <c r="J50" s="5" t="inlineStr">
        <is>
          <t xml:space="preserve">Not Run</t>
        </is>
      </c>
      <c r="K50" s="5"/>
      <c r="L50" s="5"/>
      <c r="M50" s="5"/>
      <c r="N50" s="5"/>
    </row>
    <row r="51">
      <c r="A51" s="1" t="inlineStr">
        <is>
          <t xml:space="preserve">M07-03</t>
        </is>
      </c>
      <c r="B51" s="1" t="inlineStr">
        <is>
          <t xml:space="preserve">M07 Spaces</t>
        </is>
      </c>
      <c r="C51" s="1" t="inlineStr">
        <is>
          <t xml:space="preserve">Join and leave a space</t>
        </is>
      </c>
      <c r="D51" s="1" t="inlineStr">
        <is>
          <t xml:space="preserve">Amara</t>
        </is>
      </c>
      <c r="E51" s="1" t="inlineStr">
        <is>
          <t xml:space="preserve">M07-01 done</t>
        </is>
      </c>
      <c r="F51" s="1" t="inlineStr">
        <is>
          <t xml:space="preserve">1. Open Spaces, Product, click "Join"
2. Click "Leave"
3. Click "Rejoin"</t>
        </is>
      </c>
      <c r="G51" s="1" t="inlineStr">
        <is>
          <t xml:space="preserve">The member count and the button change each time</t>
        </is>
      </c>
      <c r="H51" s="1" t="inlineStr">
        <is>
          <t xml:space="preserve">Medium</t>
        </is>
      </c>
      <c r="I51" s="1"/>
      <c r="J51" s="5" t="inlineStr">
        <is>
          <t xml:space="preserve">Not Run</t>
        </is>
      </c>
      <c r="K51" s="5"/>
      <c r="L51" s="5"/>
      <c r="M51" s="5"/>
      <c r="N51" s="5"/>
    </row>
    <row r="52">
      <c r="A52" s="1" t="inlineStr">
        <is>
          <t xml:space="preserve">M07-04</t>
        </is>
      </c>
      <c r="B52" s="1" t="inlineStr">
        <is>
          <t xml:space="preserve">M07 Spaces</t>
        </is>
      </c>
      <c r="C52" s="1" t="inlineStr">
        <is>
          <t xml:space="preserve">Only a manager can manage a space</t>
        </is>
      </c>
      <c r="D52" s="1" t="inlineStr">
        <is>
          <t xml:space="preserve">Jonas</t>
        </is>
      </c>
      <c r="E52" s="1" t="inlineStr">
        <is>
          <t xml:space="preserve">M07-01 done</t>
        </is>
      </c>
      <c r="F52" s="1" t="inlineStr">
        <is>
          <t xml:space="preserve">1. Open Spaces, Product</t>
        </is>
      </c>
      <c r="G52" s="1" t="inlineStr">
        <is>
          <t xml:space="preserve">No "Manage this space" card and no "Space settings" card</t>
        </is>
      </c>
      <c r="H52" s="1" t="inlineStr">
        <is>
          <t xml:space="preserve">High</t>
        </is>
      </c>
      <c r="I52" s="1"/>
      <c r="J52" s="5" t="inlineStr">
        <is>
          <t xml:space="preserve">Not Run</t>
        </is>
      </c>
      <c r="K52" s="5"/>
      <c r="L52" s="5"/>
      <c r="M52" s="5"/>
      <c r="N52" s="5"/>
    </row>
    <row r="53">
      <c r="A53" s="1" t="inlineStr">
        <is>
          <t xml:space="preserve">M07-05</t>
        </is>
      </c>
      <c r="B53" s="1" t="inlineStr">
        <is>
          <t xml:space="preserve">M07 Spaces</t>
        </is>
      </c>
      <c r="C53" s="1" t="inlineStr">
        <is>
          <t xml:space="preserve">Change space settings</t>
        </is>
      </c>
      <c r="D53" s="1" t="inlineStr">
        <is>
          <t xml:space="preserve">Priya</t>
        </is>
      </c>
      <c r="E53" s="1" t="inlineStr">
        <is>
          <t xml:space="preserve">M07-01 done</t>
        </is>
      </c>
      <c r="F53" s="1" t="inlineStr">
        <is>
          <t xml:space="preserve">1. Open Spaces, Product, card "Space settings"
2. Change "Coaching strictness" and "Default check-in frequency"
3. Click "Save space settings" and reload</t>
        </is>
      </c>
      <c r="G53" s="1" t="inlineStr">
        <is>
          <t xml:space="preserve">The new values stay after reload</t>
        </is>
      </c>
      <c r="H53" s="1" t="inlineStr">
        <is>
          <t xml:space="preserve">Medium</t>
        </is>
      </c>
      <c r="I53" s="1"/>
      <c r="J53" s="5" t="inlineStr">
        <is>
          <t xml:space="preserve">Not Run</t>
        </is>
      </c>
      <c r="K53" s="5"/>
      <c r="L53" s="5"/>
      <c r="M53" s="5"/>
      <c r="N53" s="5"/>
    </row>
    <row r="54">
      <c r="A54" s="1" t="inlineStr">
        <is>
          <t xml:space="preserve">M07-06</t>
        </is>
      </c>
      <c r="B54" s="1" t="inlineStr">
        <is>
          <t xml:space="preserve">M07 Spaces</t>
        </is>
      </c>
      <c r="C54" s="1" t="inlineStr">
        <is>
          <t xml:space="preserve">Archive a space</t>
        </is>
      </c>
      <c r="D54" s="1" t="inlineStr">
        <is>
          <t xml:space="preserve">Admin</t>
        </is>
      </c>
      <c r="E54" s="1" t="inlineStr">
        <is>
          <t xml:space="preserve">None</t>
        </is>
      </c>
      <c r="F54" s="1" t="inlineStr">
        <is>
          <t xml:space="preserve">1. Create a space named Temp
2. Open it and click "Archive this space"
3. Go back to Spaces</t>
        </is>
      </c>
      <c r="G54" s="1" t="inlineStr">
        <is>
          <t xml:space="preserve">Temp is gone from the list</t>
        </is>
      </c>
      <c r="H54" s="1" t="inlineStr">
        <is>
          <t xml:space="preserve">Low</t>
        </is>
      </c>
      <c r="I54" s="1"/>
      <c r="J54" s="5" t="inlineStr">
        <is>
          <t xml:space="preserve">Not Run</t>
        </is>
      </c>
      <c r="K54" s="5"/>
      <c r="L54" s="5"/>
      <c r="M54" s="5"/>
      <c r="N54" s="5"/>
    </row>
    <row r="55">
      <c r="A55" s="3" t="inlineStr">
        <is>
          <t xml:space="preserve">M08 Cycle: prepare, diagnose, direction: Walk the first three phases so drafting has something to stand on. Needs M07 first. About 25 min. Full workflow on the Module Guide sheet.</t>
        </is>
      </c>
      <c r="B55" s="3"/>
      <c r="C55" s="3"/>
      <c r="D55" s="3"/>
      <c r="E55" s="3"/>
      <c r="F55" s="3"/>
      <c r="G55" s="3"/>
      <c r="H55" s="3"/>
      <c r="I55" s="3"/>
      <c r="J55" s="3"/>
      <c r="K55" s="3"/>
      <c r="L55" s="3"/>
      <c r="M55" s="3"/>
      <c r="N55" s="3"/>
    </row>
    <row r="56">
      <c r="A56" s="1" t="inlineStr">
        <is>
          <t xml:space="preserve">M08-01</t>
        </is>
      </c>
      <c r="B56" s="1" t="inlineStr">
        <is>
          <t xml:space="preserve">M08 Cycle: prepare, diagnose, direction</t>
        </is>
      </c>
      <c r="C56" s="1" t="inlineStr">
        <is>
          <t xml:space="preserve">The cycle screen shows the eight phases</t>
        </is>
      </c>
      <c r="D56" s="1" t="inlineStr">
        <is>
          <t xml:space="preserve">Admin</t>
        </is>
      </c>
      <c r="E56" s="1" t="inlineStr">
        <is>
          <t xml:space="preserve">M02 done</t>
        </is>
      </c>
      <c r="F56" s="1" t="inlineStr">
        <is>
          <t xml:space="preserve">1. Open Cycle</t>
        </is>
      </c>
      <c r="G56" s="1" t="inlineStr">
        <is>
          <t xml:space="preserve">Rail "The cycle" lists phases 0 to 7 with a chip "&lt;done&gt; of &lt;n&gt; done". Phase 0 says "Annual cycles only". The phase header says "completion is computed, never self-reported"</t>
        </is>
      </c>
      <c r="H56" s="1" t="inlineStr">
        <is>
          <t xml:space="preserve">High</t>
        </is>
      </c>
      <c r="I56" s="1"/>
      <c r="J56" s="5" t="inlineStr">
        <is>
          <t xml:space="preserve">Not Run</t>
        </is>
      </c>
      <c r="K56" s="5"/>
      <c r="L56" s="5"/>
      <c r="M56" s="5"/>
      <c r="N56" s="5"/>
    </row>
    <row r="57">
      <c r="A57" s="1" t="inlineStr">
        <is>
          <t xml:space="preserve">M08-02</t>
        </is>
      </c>
      <c r="B57" s="1" t="inlineStr">
        <is>
          <t xml:space="preserve">M08 Cycle: prepare, diagnose, direction</t>
        </is>
      </c>
      <c r="C57" s="1" t="inlineStr">
        <is>
          <t xml:space="preserve">Create the next cycle and set the publication deadline</t>
        </is>
      </c>
      <c r="D57" s="1" t="inlineStr">
        <is>
          <t xml:space="preserve">Admin</t>
        </is>
      </c>
      <c r="E57" s="1" t="inlineStr">
        <is>
          <t xml:space="preserve">None</t>
        </is>
      </c>
      <c r="F57" s="1" t="inlineStr">
        <is>
          <t xml:space="preserve">1. On Cycle find the "Cycles" card
2. In "Create the cycle containing this date" pick a date in next quarter and click "Create"
3. In "Publication deadline" pick a date before the current cycle's first day and click "Save"</t>
        </is>
      </c>
      <c r="G57" s="1" t="inlineStr">
        <is>
          <t xml:space="preserve">The next cycle exists in the cycle picker. The deadline is saved</t>
        </is>
      </c>
      <c r="H57" s="1" t="inlineStr">
        <is>
          <t xml:space="preserve">High</t>
        </is>
      </c>
      <c r="I57" s="1" t="inlineStr">
        <is>
          <t xml:space="preserve">Gate 6 needs the deadline to be before day one of the cycle. For the current cycle that is a date in the past</t>
        </is>
      </c>
      <c r="J57" s="5" t="inlineStr">
        <is>
          <t xml:space="preserve">Not Run</t>
        </is>
      </c>
      <c r="K57" s="5"/>
      <c r="L57" s="5"/>
      <c r="M57" s="5"/>
      <c r="N57" s="5"/>
    </row>
    <row r="58">
      <c r="A58" s="1" t="inlineStr">
        <is>
          <t xml:space="preserve">M08-03</t>
        </is>
      </c>
      <c r="B58" s="1" t="inlineStr">
        <is>
          <t xml:space="preserve">M08 Cycle: prepare, diagnose, direction</t>
        </is>
      </c>
      <c r="C58" s="1" t="inlineStr">
        <is>
          <t xml:space="preserve">Phase 1 Prepare: complete the input pack</t>
        </is>
      </c>
      <c r="D58" s="1" t="inlineStr">
        <is>
          <t xml:space="preserve">Admin</t>
        </is>
      </c>
      <c r="E58" s="1" t="inlineStr">
        <is>
          <t xml:space="preserve">None</t>
        </is>
      </c>
      <c r="F58" s="1" t="inlineStr">
        <is>
          <t xml:space="preserve">1. Open Cycle, phase 1
2. Name the sponsor (Admin) and the facilitator (Priya)
3. Mark each of the 7 input-pack items as gathered
4. Mark the pack as distributed</t>
        </is>
      </c>
      <c r="G58" s="1" t="inlineStr">
        <is>
          <t xml:space="preserve">"Still needed here" empties and phase 1 shows done on the rail</t>
        </is>
      </c>
      <c r="H58" s="1" t="inlineStr">
        <is>
          <t xml:space="preserve">High</t>
        </is>
      </c>
      <c r="I58" s="1"/>
      <c r="J58" s="5" t="inlineStr">
        <is>
          <t xml:space="preserve">Not Run</t>
        </is>
      </c>
      <c r="K58" s="5"/>
      <c r="L58" s="5"/>
      <c r="M58" s="5"/>
      <c r="N58" s="5"/>
    </row>
    <row r="59">
      <c r="A59" s="1" t="inlineStr">
        <is>
          <t xml:space="preserve">M08-04</t>
        </is>
      </c>
      <c r="B59" s="1" t="inlineStr">
        <is>
          <t xml:space="preserve">M08 Cycle: prepare, diagnose, direction</t>
        </is>
      </c>
      <c r="C59" s="1" t="inlineStr">
        <is>
          <t xml:space="preserve">Phase 2 Diagnose: rank three issues</t>
        </is>
      </c>
      <c r="D59" s="1" t="inlineStr">
        <is>
          <t xml:space="preserve">Priya</t>
        </is>
      </c>
      <c r="E59" s="1" t="inlineStr">
        <is>
          <t xml:space="preserve">Phase 1 done</t>
        </is>
      </c>
      <c r="F59" s="1" t="inlineStr">
        <is>
          <t xml:space="preserve">1. Open Cycle, phase 2
2. Before adding anything read the empty state
3. Add 3 issues in "The issue" with a "Rank"
4. Record the baseline and declare this the first cycle if asked</t>
        </is>
      </c>
      <c r="G59" s="1" t="inlineStr">
        <is>
          <t xml:space="preserve">Empty state says "Nothing is on the list yet. At least 3 ranked issues are needed". After adding, the issues are listed in rank order and phase 2 shows done</t>
        </is>
      </c>
      <c r="H59" s="1" t="inlineStr">
        <is>
          <t xml:space="preserve">High</t>
        </is>
      </c>
      <c r="I59" s="1"/>
      <c r="J59" s="5" t="inlineStr">
        <is>
          <t xml:space="preserve">Not Run</t>
        </is>
      </c>
      <c r="K59" s="5"/>
      <c r="L59" s="5"/>
      <c r="M59" s="5"/>
      <c r="N59" s="5"/>
    </row>
    <row r="60">
      <c r="A60" s="1" t="inlineStr">
        <is>
          <t xml:space="preserve">M08-05</t>
        </is>
      </c>
      <c r="B60" s="1" t="inlineStr">
        <is>
          <t xml:space="preserve">M08 Cycle: prepare, diagnose, direction</t>
        </is>
      </c>
      <c r="C60" s="1" t="inlineStr">
        <is>
          <t xml:space="preserve">Phase 3 Direction: choose a priority</t>
        </is>
      </c>
      <c r="D60" s="1" t="inlineStr">
        <is>
          <t xml:space="preserve">Priya</t>
        </is>
      </c>
      <c r="E60" s="1" t="inlineStr">
        <is>
          <t xml:space="preserve">Phase 2 done</t>
        </is>
      </c>
      <c r="F60" s="1" t="inlineStr">
        <is>
          <t xml:space="preserve">1. Open Cycle, phase 3
2. Add "The priority", "The success statement" and "The issue this answers"</t>
        </is>
      </c>
      <c r="G60" s="1" t="inlineStr">
        <is>
          <t xml:space="preserve">The priority is listed and phase 3 shows done</t>
        </is>
      </c>
      <c r="H60" s="1" t="inlineStr">
        <is>
          <t xml:space="preserve">High</t>
        </is>
      </c>
      <c r="I60" s="1"/>
      <c r="J60" s="5" t="inlineStr">
        <is>
          <t xml:space="preserve">Not Run</t>
        </is>
      </c>
      <c r="K60" s="5"/>
      <c r="L60" s="5"/>
      <c r="M60" s="5"/>
      <c r="N60" s="5"/>
    </row>
    <row r="61">
      <c r="A61" s="1" t="inlineStr">
        <is>
          <t xml:space="preserve">M08-06</t>
        </is>
      </c>
      <c r="B61" s="1" t="inlineStr">
        <is>
          <t xml:space="preserve">M08 Cycle: prepare, diagnose, direction</t>
        </is>
      </c>
      <c r="C61" s="1" t="inlineStr">
        <is>
          <t xml:space="preserve">A later phase warns about missing earlier work</t>
        </is>
      </c>
      <c r="D61" s="1" t="inlineStr">
        <is>
          <t xml:space="preserve">Admin</t>
        </is>
      </c>
      <c r="E61" s="1" t="inlineStr">
        <is>
          <t xml:space="preserve">Use the next cycle from M08-02 where phase 1 is not done</t>
        </is>
      </c>
      <c r="F61" s="1" t="inlineStr">
        <is>
          <t xml:space="preserve">1. Switch the cycle picker to the next cycle
2. Open phase 4</t>
        </is>
      </c>
      <c r="G61" s="1" t="inlineStr">
        <is>
          <t xml:space="preserve">Warning "This phase is blocked by earlier work" with "Go and gather what is missing". The forms can still be used</t>
        </is>
      </c>
      <c r="H61" s="1" t="inlineStr">
        <is>
          <t xml:space="preserve">Medium</t>
        </is>
      </c>
      <c r="I61" s="1"/>
      <c r="J61" s="5" t="inlineStr">
        <is>
          <t xml:space="preserve">Not Run</t>
        </is>
      </c>
      <c r="K61" s="5"/>
      <c r="L61" s="5"/>
      <c r="M61" s="5"/>
      <c r="N61" s="5"/>
    </row>
    <row r="62">
      <c r="A62" s="3" t="inlineStr">
        <is>
          <t xml:space="preserve">M09 Drafting OKRs and quality checks: Draft objectives and key results while the quality checks fire live. Needs M08 first. About 40 min. Full workflow on the Module Guide sheet.</t>
        </is>
      </c>
      <c r="B62" s="3"/>
      <c r="C62" s="3"/>
      <c r="D62" s="3"/>
      <c r="E62" s="3"/>
      <c r="F62" s="3"/>
      <c r="G62" s="3"/>
      <c r="H62" s="3"/>
      <c r="I62" s="3"/>
      <c r="J62" s="3"/>
      <c r="K62" s="3"/>
      <c r="L62" s="3"/>
      <c r="M62" s="3"/>
      <c r="N62" s="3"/>
    </row>
    <row r="63">
      <c r="A63" s="1" t="inlineStr">
        <is>
          <t xml:space="preserve">M09-01</t>
        </is>
      </c>
      <c r="B63" s="1" t="inlineStr">
        <is>
          <t xml:space="preserve">M09 Drafting OKRs and quality checks</t>
        </is>
      </c>
      <c r="C63" s="1" t="inlineStr">
        <is>
          <t xml:space="preserve">An objective needs a title</t>
        </is>
      </c>
      <c r="D63" s="1" t="inlineStr">
        <is>
          <t xml:space="preserve">Sara</t>
        </is>
      </c>
      <c r="E63" s="1" t="inlineStr">
        <is>
          <t xml:space="preserve">Cycle phase 4 open on the current cycle</t>
        </is>
      </c>
      <c r="F63" s="1" t="inlineStr">
        <is>
          <t xml:space="preserve">1. In "Draft an objective" leave the title empty
2. Click "Add objective"</t>
        </is>
      </c>
      <c r="G63" s="1" t="inlineStr">
        <is>
          <t xml:space="preserve">"An objective needs a sentence saying what changes."</t>
        </is>
      </c>
      <c r="H63" s="1" t="inlineStr">
        <is>
          <t xml:space="preserve">Medium</t>
        </is>
      </c>
      <c r="I63" s="1"/>
      <c r="J63" s="5" t="inlineStr">
        <is>
          <t xml:space="preserve">Not Run</t>
        </is>
      </c>
      <c r="K63" s="5"/>
      <c r="L63" s="5"/>
      <c r="M63" s="5"/>
      <c r="N63" s="5"/>
    </row>
    <row r="64">
      <c r="A64" s="1" t="inlineStr">
        <is>
          <t xml:space="preserve">M09-02</t>
        </is>
      </c>
      <c r="B64" s="1" t="inlineStr">
        <is>
          <t xml:space="preserve">M09 Drafting OKRs and quality checks</t>
        </is>
      </c>
      <c r="C64" s="1" t="inlineStr">
        <is>
          <t xml:space="preserve">Draft an objective</t>
        </is>
      </c>
      <c r="D64" s="1" t="inlineStr">
        <is>
          <t xml:space="preserve">Sara</t>
        </is>
      </c>
      <c r="E64" s="1" t="inlineStr">
        <is>
          <t xml:space="preserve">None</t>
        </is>
      </c>
      <c r="F64" s="1" t="inlineStr">
        <is>
          <t xml:space="preserve">1. Title: Make onboarding something new customers finish by themselves
2. Contribution: the phase 3 priority
3. Level team, Champion Sara, Reviewer Priya
4. Click "Add objective"</t>
        </is>
      </c>
      <c r="G64" s="1" t="inlineStr">
        <is>
          <t xml:space="preserve">An objective card appears with the field "Objective, checked as you type"</t>
        </is>
      </c>
      <c r="H64" s="1" t="inlineStr">
        <is>
          <t xml:space="preserve">High</t>
        </is>
      </c>
      <c r="I64" s="1"/>
      <c r="J64" s="5" t="inlineStr">
        <is>
          <t xml:space="preserve">Not Run</t>
        </is>
      </c>
      <c r="K64" s="5"/>
      <c r="L64" s="5"/>
      <c r="M64" s="5"/>
      <c r="N64" s="5"/>
    </row>
    <row r="65">
      <c r="A65" s="1" t="inlineStr">
        <is>
          <t xml:space="preserve">M09-03</t>
        </is>
      </c>
      <c r="B65" s="1" t="inlineStr">
        <is>
          <t xml:space="preserve">M09 Drafting OKRs and quality checks</t>
        </is>
      </c>
      <c r="C65" s="1" t="inlineStr">
        <is>
          <t xml:space="preserve">Output wording fires OBJ-1</t>
        </is>
      </c>
      <c r="D65" s="1" t="inlineStr">
        <is>
          <t xml:space="preserve">Sara</t>
        </is>
      </c>
      <c r="E65" s="1" t="inlineStr">
        <is>
          <t xml:space="preserve">M09-02 done</t>
        </is>
      </c>
      <c r="F65" s="1" t="inlineStr">
        <is>
          <t xml:space="preserve">1. In "Objective, checked as you type" type: Launch the new onboarding flow</t>
        </is>
      </c>
      <c r="G65" s="1" t="inlineStr">
        <is>
          <t xml:space="preserve">A red chip "1 rule firing" and a chip "OBJ-1 · Outcome, not output". The strength meter drops. Nothing is saved</t>
        </is>
      </c>
      <c r="H65" s="1" t="inlineStr">
        <is>
          <t xml:space="preserve">High</t>
        </is>
      </c>
      <c r="I65" s="1"/>
      <c r="J65" s="5" t="inlineStr">
        <is>
          <t xml:space="preserve">Not Run</t>
        </is>
      </c>
      <c r="K65" s="5"/>
      <c r="L65" s="5"/>
      <c r="M65" s="5"/>
      <c r="N65" s="5"/>
    </row>
    <row r="66">
      <c r="A66" s="1" t="inlineStr">
        <is>
          <t xml:space="preserve">M09-04</t>
        </is>
      </c>
      <c r="B66" s="1" t="inlineStr">
        <is>
          <t xml:space="preserve">M09 Drafting OKRs and quality checks</t>
        </is>
      </c>
      <c r="C66" s="1" t="inlineStr">
        <is>
          <t xml:space="preserve">A metric in the objective fires two rules</t>
        </is>
      </c>
      <c r="D66" s="1" t="inlineStr">
        <is>
          <t xml:space="preserve">Sara</t>
        </is>
      </c>
      <c r="E66" s="1" t="inlineStr">
        <is>
          <t xml:space="preserve">M09-02 done</t>
        </is>
      </c>
      <c r="F66" s="1" t="inlineStr">
        <is>
          <t xml:space="preserve">1. Type: Increase revenue by 20%</t>
        </is>
      </c>
      <c r="G66" s="1" t="inlineStr">
        <is>
          <t xml:space="preserve">OBJ-1 FAIL and "OBJ-2 · Inspiring and directional" WARN. The meter shows the pass, warn and fail counts</t>
        </is>
      </c>
      <c r="H66" s="1" t="inlineStr">
        <is>
          <t xml:space="preserve">High</t>
        </is>
      </c>
      <c r="I66" s="1"/>
      <c r="J66" s="5" t="inlineStr">
        <is>
          <t xml:space="preserve">Not Run</t>
        </is>
      </c>
      <c r="K66" s="5"/>
      <c r="L66" s="5"/>
      <c r="M66" s="5"/>
      <c r="N66" s="5"/>
    </row>
    <row r="67">
      <c r="A67" s="1" t="inlineStr">
        <is>
          <t xml:space="preserve">M09-05</t>
        </is>
      </c>
      <c r="B67" s="1" t="inlineStr">
        <is>
          <t xml:space="preserve">M09 Drafting OKRs and quality checks</t>
        </is>
      </c>
      <c r="C67" s="1" t="inlineStr">
        <is>
          <t xml:space="preserve">A one-word objective warns</t>
        </is>
      </c>
      <c r="D67" s="1" t="inlineStr">
        <is>
          <t xml:space="preserve">Sara</t>
        </is>
      </c>
      <c r="E67" s="1" t="inlineStr">
        <is>
          <t xml:space="preserve">M09-02 done</t>
        </is>
      </c>
      <c r="F67" s="1" t="inlineStr">
        <is>
          <t xml:space="preserve">1. Type: Grow
2. Click the OBJ-2 chip</t>
        </is>
      </c>
      <c r="G67" s="1" t="inlineStr">
        <is>
          <t xml:space="preserve">The rule card shows WARN and the prompt "Very short. Would someone outside your team understand where you are headed and why it matters?"</t>
        </is>
      </c>
      <c r="H67" s="1" t="inlineStr">
        <is>
          <t xml:space="preserve">Medium</t>
        </is>
      </c>
      <c r="I67" s="1"/>
      <c r="J67" s="5" t="inlineStr">
        <is>
          <t xml:space="preserve">Not Run</t>
        </is>
      </c>
      <c r="K67" s="5"/>
      <c r="L67" s="5"/>
      <c r="M67" s="5"/>
      <c r="N67" s="5"/>
    </row>
    <row r="68">
      <c r="A68" s="1" t="inlineStr">
        <is>
          <t xml:space="preserve">M09-06</t>
        </is>
      </c>
      <c r="B68" s="1" t="inlineStr">
        <is>
          <t xml:space="preserve">M09 Drafting OKRs and quality checks</t>
        </is>
      </c>
      <c r="C68" s="1" t="inlineStr">
        <is>
          <t xml:space="preserve">A good objective passes every check</t>
        </is>
      </c>
      <c r="D68" s="1" t="inlineStr">
        <is>
          <t xml:space="preserve">Sara</t>
        </is>
      </c>
      <c r="E68" s="1" t="inlineStr">
        <is>
          <t xml:space="preserve">M09-02 done</t>
        </is>
      </c>
      <c r="F68" s="1" t="inlineStr">
        <is>
          <t xml:space="preserve">1. Type: Make onboarding something new customers finish by themselves</t>
        </is>
      </c>
      <c r="G68" s="1" t="inlineStr">
        <is>
          <t xml:space="preserve">No rule firing on the objective</t>
        </is>
      </c>
      <c r="H68" s="1" t="inlineStr">
        <is>
          <t xml:space="preserve">High</t>
        </is>
      </c>
      <c r="I68" s="1"/>
      <c r="J68" s="5" t="inlineStr">
        <is>
          <t xml:space="preserve">Not Run</t>
        </is>
      </c>
      <c r="K68" s="5"/>
      <c r="L68" s="5"/>
      <c r="M68" s="5"/>
      <c r="N68" s="5"/>
    </row>
    <row r="69">
      <c r="A69" s="1" t="inlineStr">
        <is>
          <t xml:space="preserve">M09-07</t>
        </is>
      </c>
      <c r="B69" s="1" t="inlineStr">
        <is>
          <t xml:space="preserve">M09 Drafting OKRs and quality checks</t>
        </is>
      </c>
      <c r="C69" s="1" t="inlineStr">
        <is>
          <t xml:space="preserve">The rule card links to the method</t>
        </is>
      </c>
      <c r="D69" s="1" t="inlineStr">
        <is>
          <t xml:space="preserve">Sara</t>
        </is>
      </c>
      <c r="E69" s="1" t="inlineStr">
        <is>
          <t xml:space="preserve">A rule chip is showing</t>
        </is>
      </c>
      <c r="F69" s="1" t="inlineStr">
        <is>
          <t xml:space="preserve">1. Click a rule chip
2. Click "See the rule in METHOD"
3. Click "Back to the cycle"</t>
        </is>
      </c>
      <c r="G69" s="1" t="inlineStr">
        <is>
          <t xml:space="preserve">Card shows the verdict, "What was seen" and weak and strong examples. The method page shows "How it judges, in order". Back returns to the cycle</t>
        </is>
      </c>
      <c r="H69" s="1" t="inlineStr">
        <is>
          <t xml:space="preserve">Medium</t>
        </is>
      </c>
      <c r="I69" s="1"/>
      <c r="J69" s="5" t="inlineStr">
        <is>
          <t xml:space="preserve">Not Run</t>
        </is>
      </c>
      <c r="K69" s="5"/>
      <c r="L69" s="5"/>
      <c r="M69" s="5"/>
      <c r="N69" s="5"/>
    </row>
    <row r="70">
      <c r="A70" s="1" t="inlineStr">
        <is>
          <t xml:space="preserve">M09-08</t>
        </is>
      </c>
      <c r="B70" s="1" t="inlineStr">
        <is>
          <t xml:space="preserve">M09 Drafting OKRs and quality checks</t>
        </is>
      </c>
      <c r="C70" s="1" t="inlineStr">
        <is>
          <t xml:space="preserve">A key result needs numbers</t>
        </is>
      </c>
      <c r="D70" s="1" t="inlineStr">
        <is>
          <t xml:space="preserve">Sara</t>
        </is>
      </c>
      <c r="E70" s="1" t="inlineStr">
        <is>
          <t xml:space="preserve">M09-02 done</t>
        </is>
      </c>
      <c r="F70" s="1" t="inlineStr">
        <is>
          <t xml:space="preserve">1. In the key result form type: Improve self-serve onboarding
2. Leave "Baseline" and "Target" empty
3. Click "Add key result"</t>
        </is>
      </c>
      <c r="G70" s="1" t="inlineStr">
        <is>
          <t xml:space="preserve">"A key result needs a baseline and a target, both as numbers."</t>
        </is>
      </c>
      <c r="H70" s="1" t="inlineStr">
        <is>
          <t xml:space="preserve">High</t>
        </is>
      </c>
      <c r="I70" s="1"/>
      <c r="J70" s="5" t="inlineStr">
        <is>
          <t xml:space="preserve">Not Run</t>
        </is>
      </c>
      <c r="K70" s="5"/>
      <c r="L70" s="5"/>
      <c r="M70" s="5"/>
      <c r="N70" s="5"/>
    </row>
    <row r="71">
      <c r="A71" s="1" t="inlineStr">
        <is>
          <t xml:space="preserve">M09-09</t>
        </is>
      </c>
      <c r="B71" s="1" t="inlineStr">
        <is>
          <t xml:space="preserve">M09 Drafting OKRs and quality checks</t>
        </is>
      </c>
      <c r="C71" s="1" t="inlineStr">
        <is>
          <t xml:space="preserve">Effort wording fires KR-5</t>
        </is>
      </c>
      <c r="D71" s="1" t="inlineStr">
        <is>
          <t xml:space="preserve">Sara</t>
        </is>
      </c>
      <c r="E71" s="1" t="inlineStr">
        <is>
          <t xml:space="preserve">M09-02 done</t>
        </is>
      </c>
      <c r="F71" s="1" t="inlineStr">
        <is>
          <t xml:space="preserve">1. Add key result: Hold 12 customer workshops, baseline 0, target 12</t>
        </is>
      </c>
      <c r="G71" s="1" t="inlineStr">
        <is>
          <t xml:space="preserve">"KR-5 · Impact, not effort" FAIL on that key result</t>
        </is>
      </c>
      <c r="H71" s="1" t="inlineStr">
        <is>
          <t xml:space="preserve">High</t>
        </is>
      </c>
      <c r="I71" s="1"/>
      <c r="J71" s="5" t="inlineStr">
        <is>
          <t xml:space="preserve">Not Run</t>
        </is>
      </c>
      <c r="K71" s="5"/>
      <c r="L71" s="5"/>
      <c r="M71" s="5"/>
      <c r="N71" s="5"/>
    </row>
    <row r="72">
      <c r="A72" s="1" t="inlineStr">
        <is>
          <t xml:space="preserve">M09-10</t>
        </is>
      </c>
      <c r="B72" s="1" t="inlineStr">
        <is>
          <t xml:space="preserve">M09 Drafting OKRs and quality checks</t>
        </is>
      </c>
      <c r="C72" s="1" t="inlineStr">
        <is>
          <t xml:space="preserve">Add measurable key results</t>
        </is>
      </c>
      <c r="D72" s="1" t="inlineStr">
        <is>
          <t xml:space="preserve">Sara</t>
        </is>
      </c>
      <c r="E72" s="1" t="inlineStr">
        <is>
          <t xml:space="preserve">M09-02 done</t>
        </is>
      </c>
      <c r="F72" s="1" t="inlineStr">
        <is>
          <t xml:space="preserve">1. Add: Raise self-serve completion from 40% to 70%, baseline 40, target 70, unit %
2. Look at KR-1
3. Add a second one: Cut support tickets per new account from 5 to 2, direction reduce</t>
        </is>
      </c>
      <c r="G72" s="1" t="inlineStr">
        <is>
          <t xml:space="preserve">With one key result KR-1 warns "Can a single measure prove this from every angle?". With two it stops warning</t>
        </is>
      </c>
      <c r="H72" s="1" t="inlineStr">
        <is>
          <t xml:space="preserve">High</t>
        </is>
      </c>
      <c r="I72" s="1"/>
      <c r="J72" s="5" t="inlineStr">
        <is>
          <t xml:space="preserve">Not Run</t>
        </is>
      </c>
      <c r="K72" s="5"/>
      <c r="L72" s="5"/>
      <c r="M72" s="5"/>
      <c r="N72" s="5"/>
    </row>
    <row r="73">
      <c r="A73" s="1" t="inlineStr">
        <is>
          <t xml:space="preserve">M09-11</t>
        </is>
      </c>
      <c r="B73" s="1" t="inlineStr">
        <is>
          <t xml:space="preserve">M09 Drafting OKRs and quality checks</t>
        </is>
      </c>
      <c r="C73" s="1" t="inlineStr">
        <is>
          <t xml:space="preserve">Record where a key result is now</t>
        </is>
      </c>
      <c r="D73" s="1" t="inlineStr">
        <is>
          <t xml:space="preserve">Sara</t>
        </is>
      </c>
      <c r="E73" s="1" t="inlineStr">
        <is>
          <t xml:space="preserve">M09-10 done</t>
        </is>
      </c>
      <c r="F73" s="1" t="inlineStr">
        <is>
          <t xml:space="preserve">1. In "Where is it now?" type 45 and click "Record"</t>
        </is>
      </c>
      <c r="G73" s="1" t="inlineStr">
        <is>
          <t xml:space="preserve">Progress on that key result moves from the baseline</t>
        </is>
      </c>
      <c r="H73" s="1" t="inlineStr">
        <is>
          <t xml:space="preserve">Medium</t>
        </is>
      </c>
      <c r="I73" s="1"/>
      <c r="J73" s="5" t="inlineStr">
        <is>
          <t xml:space="preserve">Not Run</t>
        </is>
      </c>
      <c r="K73" s="5"/>
      <c r="L73" s="5"/>
      <c r="M73" s="5"/>
      <c r="N73" s="5"/>
    </row>
    <row r="74">
      <c r="A74" s="1" t="inlineStr">
        <is>
          <t xml:space="preserve">M09-12</t>
        </is>
      </c>
      <c r="B74" s="1" t="inlineStr">
        <is>
          <t xml:space="preserve">M09 Drafting OKRs and quality checks</t>
        </is>
      </c>
      <c r="C74" s="1" t="inlineStr">
        <is>
          <t xml:space="preserve">The quality panel lists every open issue</t>
        </is>
      </c>
      <c r="D74" s="1" t="inlineStr">
        <is>
          <t xml:space="preserve">Sara</t>
        </is>
      </c>
      <c r="E74" s="1" t="inlineStr">
        <is>
          <t xml:space="preserve">Some rules still firing</t>
        </is>
      </c>
      <c r="F74" s="1" t="inlineStr">
        <is>
          <t xml:space="preserve">1. Look at the right rail "Quality panel"
2. Click one issue</t>
        </is>
      </c>
      <c r="G74" s="1" t="inlineStr">
        <is>
          <t xml:space="preserve">It says "&lt;n&gt; issues across &lt;m&gt; objectives". Clicking jumps to the field that fixes it</t>
        </is>
      </c>
      <c r="H74" s="1" t="inlineStr">
        <is>
          <t xml:space="preserve">Medium</t>
        </is>
      </c>
      <c r="I74" s="1"/>
      <c r="J74" s="5" t="inlineStr">
        <is>
          <t xml:space="preserve">Not Run</t>
        </is>
      </c>
      <c r="K74" s="5"/>
      <c r="L74" s="5"/>
      <c r="M74" s="5"/>
      <c r="N74" s="5"/>
    </row>
    <row r="75">
      <c r="A75" s="1" t="inlineStr">
        <is>
          <t xml:space="preserve">M09-13</t>
        </is>
      </c>
      <c r="B75" s="1" t="inlineStr">
        <is>
          <t xml:space="preserve">M09 Drafting OKRs and quality checks</t>
        </is>
      </c>
      <c r="C75" s="1" t="inlineStr">
        <is>
          <t xml:space="preserve">Draft the other team objectives</t>
        </is>
      </c>
      <c r="D75" s="1" t="inlineStr">
        <is>
          <t xml:space="preserve">Daniel, then Tomas</t>
        </is>
      </c>
      <c r="E75" s="1" t="inlineStr">
        <is>
          <t xml:space="preserve">M07-01 done</t>
        </is>
      </c>
      <c r="F75" s="1" t="inlineStr">
        <is>
          <t xml:space="preserve">1. Daniel drafts a Sales objective with 2 key results, champion Daniel, reviewer Admin
2. Tomas drafts a Customer Success objective with 2 key results, champion Tomas, reviewer Admin</t>
        </is>
      </c>
      <c r="G75" s="1" t="inlineStr">
        <is>
          <t xml:space="preserve">Both objectives appear on the work map for this cycle</t>
        </is>
      </c>
      <c r="H75" s="1" t="inlineStr">
        <is>
          <t xml:space="preserve">Medium</t>
        </is>
      </c>
      <c r="I75" s="1"/>
      <c r="J75" s="5" t="inlineStr">
        <is>
          <t xml:space="preserve">Not Run</t>
        </is>
      </c>
      <c r="K75" s="5"/>
      <c r="L75" s="5"/>
      <c r="M75" s="5"/>
      <c r="N75" s="5"/>
    </row>
    <row r="76">
      <c r="A76" s="1" t="inlineStr">
        <is>
          <t xml:space="preserve">M09-14</t>
        </is>
      </c>
      <c r="B76" s="1" t="inlineStr">
        <is>
          <t xml:space="preserve">M09 Drafting OKRs and quality checks</t>
        </is>
      </c>
      <c r="C76" s="1" t="inlineStr">
        <is>
          <t xml:space="preserve">AI buttons are hidden with AI off</t>
        </is>
      </c>
      <c r="D76" s="1" t="inlineStr">
        <is>
          <t xml:space="preserve">Sara</t>
        </is>
      </c>
      <c r="E76" s="1" t="inlineStr">
        <is>
          <t xml:space="preserve">No AI provider set up</t>
        </is>
      </c>
      <c r="F76" s="1" t="inlineStr">
        <is>
          <t xml:space="preserve">1. Look at the drafting surface</t>
        </is>
      </c>
      <c r="G76" s="1" t="inlineStr">
        <is>
          <t xml:space="preserve">No "Draft from an ambition", "Suggest a parent" or "Suggest numbers"</t>
        </is>
      </c>
      <c r="H76" s="1" t="inlineStr">
        <is>
          <t xml:space="preserve">Medium</t>
        </is>
      </c>
      <c r="I76" s="1"/>
      <c r="J76" s="5" t="inlineStr">
        <is>
          <t xml:space="preserve">Not Run</t>
        </is>
      </c>
      <c r="K76" s="5"/>
      <c r="L76" s="5"/>
      <c r="M76" s="5"/>
      <c r="N76" s="5"/>
    </row>
    <row r="77">
      <c r="A77" s="3" t="inlineStr">
        <is>
          <t xml:space="preserve">M10 Goal page and documents: Work on one goal: values, confidence, comments, documents and files. Needs M09 first. About 30 min. Full workflow on the Module Guide sheet.</t>
        </is>
      </c>
      <c r="B77" s="3"/>
      <c r="C77" s="3"/>
      <c r="D77" s="3"/>
      <c r="E77" s="3"/>
      <c r="F77" s="3"/>
      <c r="G77" s="3"/>
      <c r="H77" s="3"/>
      <c r="I77" s="3"/>
      <c r="J77" s="3"/>
      <c r="K77" s="3"/>
      <c r="L77" s="3"/>
      <c r="M77" s="3"/>
      <c r="N77" s="3"/>
    </row>
    <row r="78">
      <c r="A78" s="1" t="inlineStr">
        <is>
          <t xml:space="preserve">M10-01</t>
        </is>
      </c>
      <c r="B78" s="1" t="inlineStr">
        <is>
          <t xml:space="preserve">M10 Goal page and documents</t>
        </is>
      </c>
      <c r="C78" s="1" t="inlineStr">
        <is>
          <t xml:space="preserve">Open a goal and read its header</t>
        </is>
      </c>
      <c r="D78" s="1" t="inlineStr">
        <is>
          <t xml:space="preserve">Sara</t>
        </is>
      </c>
      <c r="E78" s="1" t="inlineStr">
        <is>
          <t xml:space="preserve">M09 done</t>
        </is>
      </c>
      <c r="F78" s="1" t="inlineStr">
        <is>
          <t xml:space="preserve">1. Open Goals, click Sara's objective</t>
        </is>
      </c>
      <c r="G78" s="1" t="inlineStr">
        <is>
          <t xml:space="preserve">Header shows level, "Sara champions it, Priya reviews it", weight, a health chip and "Next check-in due"</t>
        </is>
      </c>
      <c r="H78" s="1" t="inlineStr">
        <is>
          <t xml:space="preserve">High</t>
        </is>
      </c>
      <c r="I78" s="1"/>
      <c r="J78" s="5" t="inlineStr">
        <is>
          <t xml:space="preserve">Not Run</t>
        </is>
      </c>
      <c r="K78" s="5"/>
      <c r="L78" s="5"/>
      <c r="M78" s="5"/>
      <c r="N78" s="5"/>
    </row>
    <row r="79">
      <c r="A79" s="1" t="inlineStr">
        <is>
          <t xml:space="preserve">M10-02</t>
        </is>
      </c>
      <c r="B79" s="1" t="inlineStr">
        <is>
          <t xml:space="preserve">M10 Goal page and documents</t>
        </is>
      </c>
      <c r="C79" s="1" t="inlineStr">
        <is>
          <t xml:space="preserve">Update a key result value and confidence</t>
        </is>
      </c>
      <c r="D79" s="1" t="inlineStr">
        <is>
          <t xml:space="preserve">Sara</t>
        </is>
      </c>
      <c r="E79" s="1" t="inlineStr">
        <is>
          <t xml:space="preserve">M10-01 done</t>
        </is>
      </c>
      <c r="F79" s="1" t="inlineStr">
        <is>
          <t xml:space="preserve">1. Under "Key results (n)" change a value and move the confidence slider
2. Click "Save"
3. Reload</t>
        </is>
      </c>
      <c r="G79" s="1" t="inlineStr">
        <is>
          <t xml:space="preserve">The new value and confidence stay after reload. Progress changes</t>
        </is>
      </c>
      <c r="H79" s="1" t="inlineStr">
        <is>
          <t xml:space="preserve">High</t>
        </is>
      </c>
      <c r="I79" s="1"/>
      <c r="J79" s="5" t="inlineStr">
        <is>
          <t xml:space="preserve">Not Run</t>
        </is>
      </c>
      <c r="K79" s="5"/>
      <c r="L79" s="5"/>
      <c r="M79" s="5"/>
      <c r="N79" s="5"/>
    </row>
    <row r="80">
      <c r="A80" s="1" t="inlineStr">
        <is>
          <t xml:space="preserve">M10-03</t>
        </is>
      </c>
      <c r="B80" s="1" t="inlineStr">
        <is>
          <t xml:space="preserve">M10 Goal page and documents</t>
        </is>
      </c>
      <c r="C80" s="1" t="inlineStr">
        <is>
          <t xml:space="preserve">Edit the goal, and an empty title is refused</t>
        </is>
      </c>
      <c r="D80" s="1" t="inlineStr">
        <is>
          <t xml:space="preserve">Sara</t>
        </is>
      </c>
      <c r="E80" s="1" t="inlineStr">
        <is>
          <t xml:space="preserve">M10-01 done</t>
        </is>
      </c>
      <c r="F80" s="1" t="inlineStr">
        <is>
          <t xml:space="preserve">1. Open Edit, change "Weight" to 2, save
2. Clear the title and save</t>
        </is>
      </c>
      <c r="G80" s="1" t="inlineStr">
        <is>
          <t xml:space="preserve">The weight saves. Empty title: "An objective needs a title."</t>
        </is>
      </c>
      <c r="H80" s="1" t="inlineStr">
        <is>
          <t xml:space="preserve">Medium</t>
        </is>
      </c>
      <c r="I80" s="1"/>
      <c r="J80" s="5" t="inlineStr">
        <is>
          <t xml:space="preserve">Not Run</t>
        </is>
      </c>
      <c r="K80" s="5"/>
      <c r="L80" s="5"/>
      <c r="M80" s="5"/>
      <c r="N80" s="5"/>
    </row>
    <row r="81">
      <c r="A81" s="1" t="inlineStr">
        <is>
          <t xml:space="preserve">M10-04</t>
        </is>
      </c>
      <c r="B81" s="1" t="inlineStr">
        <is>
          <t xml:space="preserve">M10 Goal page and documents</t>
        </is>
      </c>
      <c r="C81" s="1" t="inlineStr">
        <is>
          <t xml:space="preserve">Comment on a goal</t>
        </is>
      </c>
      <c r="D81" s="1" t="inlineStr">
        <is>
          <t xml:space="preserve">Priya</t>
        </is>
      </c>
      <c r="E81" s="1" t="inlineStr">
        <is>
          <t xml:space="preserve">M10-01 done</t>
        </is>
      </c>
      <c r="F81" s="1" t="inlineStr">
        <is>
          <t xml:space="preserve">1. Open Sara's goal
2. Write in "Write a comment..." and post it</t>
        </is>
      </c>
      <c r="G81" s="1" t="inlineStr">
        <is>
          <t xml:space="preserve">The comment shows under "Discussion (1)" with Priya's name. Sara gets it in the Inbox</t>
        </is>
      </c>
      <c r="H81" s="1" t="inlineStr">
        <is>
          <t xml:space="preserve">Medium</t>
        </is>
      </c>
      <c r="I81" s="1"/>
      <c r="J81" s="5" t="inlineStr">
        <is>
          <t xml:space="preserve">Not Run</t>
        </is>
      </c>
      <c r="K81" s="5"/>
      <c r="L81" s="5"/>
      <c r="M81" s="5"/>
      <c r="N81" s="5"/>
    </row>
    <row r="82">
      <c r="A82" s="1" t="inlineStr">
        <is>
          <t xml:space="preserve">M10-05</t>
        </is>
      </c>
      <c r="B82" s="1" t="inlineStr">
        <is>
          <t xml:space="preserve">M10 Goal page and documents</t>
        </is>
      </c>
      <c r="C82" s="1" t="inlineStr">
        <is>
          <t xml:space="preserve">Watch a goal</t>
        </is>
      </c>
      <c r="D82" s="1" t="inlineStr">
        <is>
          <t xml:space="preserve">Mei</t>
        </is>
      </c>
      <c r="E82" s="1" t="inlineStr">
        <is>
          <t xml:space="preserve">None</t>
        </is>
      </c>
      <c r="F82" s="1" t="inlineStr">
        <is>
          <t xml:space="preserve">1. Open Sara's goal and click Watch
2. Click it again</t>
        </is>
      </c>
      <c r="G82" s="1" t="inlineStr">
        <is>
          <t xml:space="preserve">The control switches between watching and not watching</t>
        </is>
      </c>
      <c r="H82" s="1" t="inlineStr">
        <is>
          <t xml:space="preserve">Low</t>
        </is>
      </c>
      <c r="I82" s="1"/>
      <c r="J82" s="5" t="inlineStr">
        <is>
          <t xml:space="preserve">Not Run</t>
        </is>
      </c>
      <c r="K82" s="5"/>
      <c r="L82" s="5"/>
      <c r="M82" s="5"/>
      <c r="N82" s="5"/>
    </row>
    <row r="83">
      <c r="A83" s="1" t="inlineStr">
        <is>
          <t xml:space="preserve">M10-06</t>
        </is>
      </c>
      <c r="B83" s="1" t="inlineStr">
        <is>
          <t xml:space="preserve">M10 Goal page and documents</t>
        </is>
      </c>
      <c r="C83" s="1" t="inlineStr">
        <is>
          <t xml:space="preserve">Start a draft document</t>
        </is>
      </c>
      <c r="D83" s="1" t="inlineStr">
        <is>
          <t xml:space="preserve">Sara</t>
        </is>
      </c>
      <c r="E83" s="1" t="inlineStr">
        <is>
          <t xml:space="preserve">M10-01 done</t>
        </is>
      </c>
      <c r="F83" s="1" t="inlineStr">
        <is>
          <t xml:space="preserve">1. In the goal's "Documents" card type How we will win activation in "Start a document"
2. Click "Start"
3. Type text. Use / to add a heading and a bullet list
4. Click "Save"</t>
        </is>
      </c>
      <c r="G83" s="1" t="inlineStr">
        <is>
          <t xml:space="preserve">The document opens with the banner "Only you can see this". After saving: "Saved. Not published yet."</t>
        </is>
      </c>
      <c r="H83" s="1" t="inlineStr">
        <is>
          <t xml:space="preserve">High</t>
        </is>
      </c>
      <c r="I83" s="1"/>
      <c r="J83" s="5" t="inlineStr">
        <is>
          <t xml:space="preserve">Not Run</t>
        </is>
      </c>
      <c r="K83" s="5"/>
      <c r="L83" s="5"/>
      <c r="M83" s="5"/>
      <c r="N83" s="5"/>
    </row>
    <row r="84">
      <c r="A84" s="1" t="inlineStr">
        <is>
          <t xml:space="preserve">M10-07</t>
        </is>
      </c>
      <c r="B84" s="1" t="inlineStr">
        <is>
          <t xml:space="preserve">M10 Goal page and documents</t>
        </is>
      </c>
      <c r="C84" s="1" t="inlineStr">
        <is>
          <t xml:space="preserve">A draft document is private</t>
        </is>
      </c>
      <c r="D84" s="1" t="inlineStr">
        <is>
          <t xml:space="preserve">Priya</t>
        </is>
      </c>
      <c r="E84" s="1" t="inlineStr">
        <is>
          <t xml:space="preserve">M10-06 done</t>
        </is>
      </c>
      <c r="F84" s="1" t="inlineStr">
        <is>
          <t xml:space="preserve">1. Open Sara's goal, Documents card
2. Search for activation</t>
        </is>
      </c>
      <c r="G84" s="1" t="inlineStr">
        <is>
          <t xml:space="preserve">Priya does not see or find Sara's draft</t>
        </is>
      </c>
      <c r="H84" s="1" t="inlineStr">
        <is>
          <t xml:space="preserve">High</t>
        </is>
      </c>
      <c r="I84" s="1"/>
      <c r="J84" s="5" t="inlineStr">
        <is>
          <t xml:space="preserve">Not Run</t>
        </is>
      </c>
      <c r="K84" s="5"/>
      <c r="L84" s="5"/>
      <c r="M84" s="5"/>
      <c r="N84" s="5"/>
    </row>
    <row r="85">
      <c r="A85" s="1" t="inlineStr">
        <is>
          <t xml:space="preserve">M10-08</t>
        </is>
      </c>
      <c r="B85" s="1" t="inlineStr">
        <is>
          <t xml:space="preserve">M10 Goal page and documents</t>
        </is>
      </c>
      <c r="C85" s="1" t="inlineStr">
        <is>
          <t xml:space="preserve">Publish a document and a second version</t>
        </is>
      </c>
      <c r="D85" s="1" t="inlineStr">
        <is>
          <t xml:space="preserve">Sara</t>
        </is>
      </c>
      <c r="E85" s="1" t="inlineStr">
        <is>
          <t xml:space="preserve">M10-06 done</t>
        </is>
      </c>
      <c r="F85" s="1" t="inlineStr">
        <is>
          <t xml:space="preserve">1. Click "Publish"
2. Edit a line and click "Publish a new version"
3. Open the "History" rail and compare the versions</t>
        </is>
      </c>
      <c r="G85" s="1" t="inlineStr">
        <is>
          <t xml:space="preserve">History shows "2 versions". The diff shows added and removed lines. Priya can now open it</t>
        </is>
      </c>
      <c r="H85" s="1" t="inlineStr">
        <is>
          <t xml:space="preserve">High</t>
        </is>
      </c>
      <c r="I85" s="1"/>
      <c r="J85" s="5" t="inlineStr">
        <is>
          <t xml:space="preserve">Not Run</t>
        </is>
      </c>
      <c r="K85" s="5"/>
      <c r="L85" s="5"/>
      <c r="M85" s="5"/>
      <c r="N85" s="5"/>
    </row>
    <row r="86">
      <c r="A86" s="1" t="inlineStr">
        <is>
          <t xml:space="preserve">M10-09</t>
        </is>
      </c>
      <c r="B86" s="1" t="inlineStr">
        <is>
          <t xml:space="preserve">M10 Goal page and documents</t>
        </is>
      </c>
      <c r="C86" s="1" t="inlineStr">
        <is>
          <t xml:space="preserve">Attach, download and detach a file</t>
        </is>
      </c>
      <c r="D86" s="1" t="inlineStr">
        <is>
          <t xml:space="preserve">Sara</t>
        </is>
      </c>
      <c r="E86" s="1" t="inlineStr">
        <is>
          <t xml:space="preserve">A published document</t>
        </is>
      </c>
      <c r="F86" s="1" t="inlineStr">
        <is>
          <t xml:space="preserve">1. In "Files" click "Attach" with no file chosen
2. Choose a small PDF and click "Attach"
3. Click the file name to download it
4. Click "Detach"</t>
        </is>
      </c>
      <c r="G86" s="1" t="inlineStr">
        <is>
          <t xml:space="preserve">No file: "Choose a file first." Then the file is listed with its size, downloads correctly, and disappears after Detach</t>
        </is>
      </c>
      <c r="H86" s="1" t="inlineStr">
        <is>
          <t xml:space="preserve">Medium</t>
        </is>
      </c>
      <c r="I86" s="1" t="inlineStr">
        <is>
          <t xml:space="preserve">Also try a file over 8 MB and write what happens</t>
        </is>
      </c>
      <c r="J86" s="5" t="inlineStr">
        <is>
          <t xml:space="preserve">Not Run</t>
        </is>
      </c>
      <c r="K86" s="5"/>
      <c r="L86" s="5"/>
      <c r="M86" s="5"/>
      <c r="N86" s="5"/>
    </row>
    <row r="87">
      <c r="A87" s="1" t="inlineStr">
        <is>
          <t xml:space="preserve">M10-10</t>
        </is>
      </c>
      <c r="B87" s="1" t="inlineStr">
        <is>
          <t xml:space="preserve">M10 Goal page and documents</t>
        </is>
      </c>
      <c r="C87" s="1" t="inlineStr">
        <is>
          <t xml:space="preserve">Filter the goals explorer</t>
        </is>
      </c>
      <c r="D87" s="1" t="inlineStr">
        <is>
          <t xml:space="preserve">Jonas</t>
        </is>
      </c>
      <c r="E87" s="1" t="inlineStr">
        <is>
          <t xml:space="preserve">M09 done</t>
        </is>
      </c>
      <c r="F87" s="1" t="inlineStr">
        <is>
          <t xml:space="preserve">1. Open Goals
2. Set "Whose" to Mine, then Everyone's
3. Set "View" to Tree, then List
4. Pick a "Level" with no goals</t>
        </is>
      </c>
      <c r="G87" s="1" t="inlineStr">
        <is>
          <t xml:space="preserve">The list follows each filter. No match shows "No goals match this view."</t>
        </is>
      </c>
      <c r="H87" s="1" t="inlineStr">
        <is>
          <t xml:space="preserve">Medium</t>
        </is>
      </c>
      <c r="I87" s="1"/>
      <c r="J87" s="5" t="inlineStr">
        <is>
          <t xml:space="preserve">Not Run</t>
        </is>
      </c>
      <c r="K87" s="5"/>
      <c r="L87" s="5"/>
      <c r="M87" s="5"/>
      <c r="N87" s="5"/>
    </row>
    <row r="88">
      <c r="A88" s="3" t="inlineStr">
        <is>
          <t xml:space="preserve">M11 Alignment and publishing: Align the set and publish it through the six gates. Needs M10 first. About 30 min. Full workflow on the Module Guide sheet.</t>
        </is>
      </c>
      <c r="B88" s="3"/>
      <c r="C88" s="3"/>
      <c r="D88" s="3"/>
      <c r="E88" s="3"/>
      <c r="F88" s="3"/>
      <c r="G88" s="3"/>
      <c r="H88" s="3"/>
      <c r="I88" s="3"/>
      <c r="J88" s="3"/>
      <c r="K88" s="3"/>
      <c r="L88" s="3"/>
      <c r="M88" s="3"/>
      <c r="N88" s="3"/>
    </row>
    <row r="89">
      <c r="A89" s="1" t="inlineStr">
        <is>
          <t xml:space="preserve">M11-01</t>
        </is>
      </c>
      <c r="B89" s="1" t="inlineStr">
        <is>
          <t xml:space="preserve">M11 Alignment and publishing</t>
        </is>
      </c>
      <c r="C89" s="1" t="inlineStr">
        <is>
          <t xml:space="preserve">The alignment studio draws the cascade</t>
        </is>
      </c>
      <c r="D89" s="1" t="inlineStr">
        <is>
          <t xml:space="preserve">Priya</t>
        </is>
      </c>
      <c r="E89" s="1" t="inlineStr">
        <is>
          <t xml:space="preserve">M09 done</t>
        </is>
      </c>
      <c r="F89" s="1" t="inlineStr">
        <is>
          <t xml:space="preserve">1. Open Goals, tab "Alignment studio"
2. Use "Zoom in", "Zoom out" and "Reset"
3. Click a goal on the canvas</t>
        </is>
      </c>
      <c r="G89" s="1" t="inlineStr">
        <is>
          <t xml:space="preserve">Goals are drawn as a tree. Unaligned ones carry a marker. Clicking shows the side tabs details, health and review</t>
        </is>
      </c>
      <c r="H89" s="1" t="inlineStr">
        <is>
          <t xml:space="preserve">Medium</t>
        </is>
      </c>
      <c r="I89" s="1"/>
      <c r="J89" s="5" t="inlineStr">
        <is>
          <t xml:space="preserve">Not Run</t>
        </is>
      </c>
      <c r="K89" s="5"/>
      <c r="L89" s="5"/>
      <c r="M89" s="5"/>
      <c r="N89" s="5"/>
    </row>
    <row r="90">
      <c r="A90" s="1" t="inlineStr">
        <is>
          <t xml:space="preserve">M11-02</t>
        </is>
      </c>
      <c r="B90" s="1" t="inlineStr">
        <is>
          <t xml:space="preserve">M11 Alignment and publishing</t>
        </is>
      </c>
      <c r="C90" s="1" t="inlineStr">
        <is>
          <t xml:space="preserve">Link two goals</t>
        </is>
      </c>
      <c r="D90" s="1" t="inlineStr">
        <is>
          <t xml:space="preserve">Priya</t>
        </is>
      </c>
      <c r="E90" s="1" t="inlineStr">
        <is>
          <t xml:space="preserve">M11-01 done</t>
        </is>
      </c>
      <c r="F90" s="1" t="inlineStr">
        <is>
          <t xml:space="preserve">1. Click "Link two goals"
2. Click Sara's objective, then the company objective</t>
        </is>
      </c>
      <c r="G90" s="1" t="inlineStr">
        <is>
          <t xml:space="preserve">A line joins them. "Alignment health" changes on the health tab</t>
        </is>
      </c>
      <c r="H90" s="1" t="inlineStr">
        <is>
          <t xml:space="preserve">High</t>
        </is>
      </c>
      <c r="I90" s="1"/>
      <c r="J90" s="5" t="inlineStr">
        <is>
          <t xml:space="preserve">Not Run</t>
        </is>
      </c>
      <c r="K90" s="5"/>
      <c r="L90" s="5"/>
      <c r="M90" s="5"/>
      <c r="N90" s="5"/>
    </row>
    <row r="91">
      <c r="A91" s="1" t="inlineStr">
        <is>
          <t xml:space="preserve">M11-03</t>
        </is>
      </c>
      <c r="B91" s="1" t="inlineStr">
        <is>
          <t xml:space="preserve">M11 Alignment and publishing</t>
        </is>
      </c>
      <c r="C91" s="1" t="inlineStr">
        <is>
          <t xml:space="preserve">Record and confirm a dependency</t>
        </is>
      </c>
      <c r="D91" s="1" t="inlineStr">
        <is>
          <t xml:space="preserve">Priya</t>
        </is>
      </c>
      <c r="E91" s="1" t="inlineStr">
        <is>
          <t xml:space="preserve">Cycle phase 5 open</t>
        </is>
      </c>
      <c r="F91" s="1" t="inlineStr">
        <is>
          <t xml:space="preserve">1. In "Record a dependency" pick a key result that depends on another team
2. Click "Add to the register"
3. Click "Confirm"</t>
        </is>
      </c>
      <c r="G91" s="1" t="inlineStr">
        <is>
          <t xml:space="preserve">The dependency is listed as confirmed</t>
        </is>
      </c>
      <c r="H91" s="1" t="inlineStr">
        <is>
          <t xml:space="preserve">Medium</t>
        </is>
      </c>
      <c r="I91" s="1"/>
      <c r="J91" s="5" t="inlineStr">
        <is>
          <t xml:space="preserve">Not Run</t>
        </is>
      </c>
      <c r="K91" s="5"/>
      <c r="L91" s="5"/>
      <c r="M91" s="5"/>
      <c r="N91" s="5"/>
    </row>
    <row r="92">
      <c r="A92" s="1" t="inlineStr">
        <is>
          <t xml:space="preserve">M11-04</t>
        </is>
      </c>
      <c r="B92" s="1" t="inlineStr">
        <is>
          <t xml:space="preserve">M11 Alignment and publishing</t>
        </is>
      </c>
      <c r="C92" s="1" t="inlineStr">
        <is>
          <t xml:space="preserve">The six publish gates explain what is missing</t>
        </is>
      </c>
      <c r="D92" s="1" t="inlineStr">
        <is>
          <t xml:space="preserve">Admin</t>
        </is>
      </c>
      <c r="E92" s="1" t="inlineStr">
        <is>
          <t xml:space="preserve">Cycle phase 5 open</t>
        </is>
      </c>
      <c r="F92" s="1" t="inlineStr">
        <is>
          <t xml:space="preserve">1. Read "Publish gates"
2. Click each red gate's fix link</t>
        </is>
      </c>
      <c r="G92" s="1" t="inlineStr">
        <is>
          <t xml:space="preserve">Chip "&lt;n&gt; of 6 green". Each red gate lists its reasons. Each fix link opens the place that fixes it</t>
        </is>
      </c>
      <c r="H92" s="1" t="inlineStr">
        <is>
          <t xml:space="preserve">High</t>
        </is>
      </c>
      <c r="I92" s="1" t="inlineStr">
        <is>
          <t xml:space="preserve">Gate 6 link opens Admin, Rhythm, but the deadline field is on the Cycles card of the Cycle screen. Log it if confusing</t>
        </is>
      </c>
      <c r="J92" s="5" t="inlineStr">
        <is>
          <t xml:space="preserve">Not Run</t>
        </is>
      </c>
      <c r="K92" s="5"/>
      <c r="L92" s="5"/>
      <c r="M92" s="5"/>
      <c r="N92" s="5"/>
    </row>
    <row r="93">
      <c r="A93" s="1" t="inlineStr">
        <is>
          <t xml:space="preserve">M11-05</t>
        </is>
      </c>
      <c r="B93" s="1" t="inlineStr">
        <is>
          <t xml:space="preserve">M11 Alignment and publishing</t>
        </is>
      </c>
      <c r="C93" s="1" t="inlineStr">
        <is>
          <t xml:space="preserve">Turn all six gates green</t>
        </is>
      </c>
      <c r="D93" s="1" t="inlineStr">
        <is>
          <t xml:space="preserve">Admin</t>
        </is>
      </c>
      <c r="E93" s="1" t="inlineStr">
        <is>
          <t xml:space="preserve">M11-04 done</t>
        </is>
      </c>
      <c r="F93" s="1" t="inlineStr">
        <is>
          <t xml:space="preserve">1. Follow every gate's fix until each one is green</t>
        </is>
      </c>
      <c r="G93" s="1" t="inlineStr">
        <is>
          <t xml:space="preserve">"6 of 6 green" and "Publish the set" becomes clickable</t>
        </is>
      </c>
      <c r="H93" s="1" t="inlineStr">
        <is>
          <t xml:space="preserve">High</t>
        </is>
      </c>
      <c r="I93" s="1" t="inlineStr">
        <is>
          <t xml:space="preserve">Code review found no field for a key result's owner and due date (gate 2) and no field for 'what was cut' (gate 5). If they cannot go green, mark Fail and log it</t>
        </is>
      </c>
      <c r="J93" s="5" t="inlineStr">
        <is>
          <t xml:space="preserve">Not Run</t>
        </is>
      </c>
      <c r="K93" s="5"/>
      <c r="L93" s="5"/>
      <c r="M93" s="5"/>
      <c r="N93" s="5"/>
    </row>
    <row r="94">
      <c r="A94" s="1" t="inlineStr">
        <is>
          <t xml:space="preserve">M11-06</t>
        </is>
      </c>
      <c r="B94" s="1" t="inlineStr">
        <is>
          <t xml:space="preserve">M11 Alignment and publishing</t>
        </is>
      </c>
      <c r="C94" s="1" t="inlineStr">
        <is>
          <t xml:space="preserve">Publish is disabled while a gate is red</t>
        </is>
      </c>
      <c r="D94" s="1" t="inlineStr">
        <is>
          <t xml:space="preserve">Admin</t>
        </is>
      </c>
      <c r="E94" s="1" t="inlineStr">
        <is>
          <t xml:space="preserve">At least one gate red</t>
        </is>
      </c>
      <c r="F94" s="1" t="inlineStr">
        <is>
          <t xml:space="preserve">1. Look at "Publish the set"</t>
        </is>
      </c>
      <c r="G94" s="1" t="inlineStr">
        <is>
          <t xml:space="preserve">Button disabled. Text: "All six gates have to be green. A gate nobody can judge counts against publication."</t>
        </is>
      </c>
      <c r="H94" s="1" t="inlineStr">
        <is>
          <t xml:space="preserve">High</t>
        </is>
      </c>
      <c r="I94" s="1"/>
      <c r="J94" s="5" t="inlineStr">
        <is>
          <t xml:space="preserve">Not Run</t>
        </is>
      </c>
      <c r="K94" s="5"/>
      <c r="L94" s="5"/>
      <c r="M94" s="5"/>
      <c r="N94" s="5"/>
    </row>
    <row r="95">
      <c r="A95" s="1" t="inlineStr">
        <is>
          <t xml:space="preserve">M11-07</t>
        </is>
      </c>
      <c r="B95" s="1" t="inlineStr">
        <is>
          <t xml:space="preserve">M11 Alignment and publishing</t>
        </is>
      </c>
      <c r="C95" s="1" t="inlineStr">
        <is>
          <t xml:space="preserve">Override needs a real reason</t>
        </is>
      </c>
      <c r="D95" s="1" t="inlineStr">
        <is>
          <t xml:space="preserve">Admin</t>
        </is>
      </c>
      <c r="E95" s="1" t="inlineStr">
        <is>
          <t xml:space="preserve">At least one gate red</t>
        </is>
      </c>
      <c r="F95" s="1" t="inlineStr">
        <is>
          <t xml:space="preserve">1. Expand "Publish anyway, past the red gates"
2. Type a reason under 20 characters
3. Type a reason of 20+ characters and click "Override and publish"</t>
        </is>
      </c>
      <c r="G95" s="1" t="inlineStr">
        <is>
          <t xml:space="preserve">Short reason is blocked. Long reason publishes: "Published &lt;date&gt;." and the cycle moves to phase 6</t>
        </is>
      </c>
      <c r="H95" s="1" t="inlineStr">
        <is>
          <t xml:space="preserve">High</t>
        </is>
      </c>
      <c r="I95" s="1"/>
      <c r="J95" s="5" t="inlineStr">
        <is>
          <t xml:space="preserve">Not Run</t>
        </is>
      </c>
      <c r="K95" s="5"/>
      <c r="L95" s="5"/>
      <c r="M95" s="5"/>
      <c r="N95" s="5"/>
    </row>
    <row r="96">
      <c r="A96" s="1" t="inlineStr">
        <is>
          <t xml:space="preserve">M11-08</t>
        </is>
      </c>
      <c r="B96" s="1" t="inlineStr">
        <is>
          <t xml:space="preserve">M11 Alignment and publishing</t>
        </is>
      </c>
      <c r="C96" s="1" t="inlineStr">
        <is>
          <t xml:space="preserve">Only the admin can publish</t>
        </is>
      </c>
      <c r="D96" s="1" t="inlineStr">
        <is>
          <t xml:space="preserve">Priya</t>
        </is>
      </c>
      <c r="E96" s="1" t="inlineStr">
        <is>
          <t xml:space="preserve">Before publishing</t>
        </is>
      </c>
      <c r="F96" s="1" t="inlineStr">
        <is>
          <t xml:space="preserve">1. Open Cycle, phase 5</t>
        </is>
      </c>
      <c r="G96" s="1" t="inlineStr">
        <is>
          <t xml:space="preserve">"Publishing is a workspace administrator's call." No publish button</t>
        </is>
      </c>
      <c r="H96" s="1" t="inlineStr">
        <is>
          <t xml:space="preserve">High</t>
        </is>
      </c>
      <c r="I96" s="1"/>
      <c r="J96" s="5" t="inlineStr">
        <is>
          <t xml:space="preserve">Not Run</t>
        </is>
      </c>
      <c r="K96" s="5"/>
      <c r="L96" s="5"/>
      <c r="M96" s="5"/>
      <c r="N96" s="5"/>
    </row>
    <row r="97">
      <c r="A97" s="3" t="inlineStr">
        <is>
          <t xml:space="preserve">M12 KPIs and recovery: Track KPIs continuously and recover one that falls out of its corridor. Needs M11 first. About 30 min. Full workflow on the Module Guide sheet.</t>
        </is>
      </c>
      <c r="B97" s="3"/>
      <c r="C97" s="3"/>
      <c r="D97" s="3"/>
      <c r="E97" s="3"/>
      <c r="F97" s="3"/>
      <c r="G97" s="3"/>
      <c r="H97" s="3"/>
      <c r="I97" s="3"/>
      <c r="J97" s="3"/>
      <c r="K97" s="3"/>
      <c r="L97" s="3"/>
      <c r="M97" s="3"/>
      <c r="N97" s="3"/>
    </row>
    <row r="98">
      <c r="A98" s="1" t="inlineStr">
        <is>
          <t xml:space="preserve">M12-01</t>
        </is>
      </c>
      <c r="B98" s="1" t="inlineStr">
        <is>
          <t xml:space="preserve">M12 KPIs and recovery</t>
        </is>
      </c>
      <c r="C98" s="1" t="inlineStr">
        <is>
          <t xml:space="preserve">Add a KPI</t>
        </is>
      </c>
      <c r="D98" s="1" t="inlineStr">
        <is>
          <t xml:space="preserve">Priya</t>
        </is>
      </c>
      <c r="E98" s="1" t="inlineStr">
        <is>
          <t xml:space="preserve">None</t>
        </is>
      </c>
      <c r="F98" s="1" t="inlineStr">
        <is>
          <t xml:space="preserve">1. Open KPIs, card "Add a KPI"
2. Click "Add" with an empty title
3. Title Test NPS, Frequency monthly, Better when higher, Standing target 100, click "Add"</t>
        </is>
      </c>
      <c r="G98" s="1" t="inlineStr">
        <is>
          <t xml:space="preserve">Empty: "A KPI needs a title. What is being measured?" Then Test NPS appears in the grid</t>
        </is>
      </c>
      <c r="H98" s="1" t="inlineStr">
        <is>
          <t xml:space="preserve">High</t>
        </is>
      </c>
      <c r="I98" s="1"/>
      <c r="J98" s="5" t="inlineStr">
        <is>
          <t xml:space="preserve">Not Run</t>
        </is>
      </c>
      <c r="K98" s="5"/>
      <c r="L98" s="5"/>
      <c r="M98" s="5"/>
      <c r="N98" s="5"/>
    </row>
    <row r="99">
      <c r="A99" s="1" t="inlineStr">
        <is>
          <t xml:space="preserve">M12-02</t>
        </is>
      </c>
      <c r="B99" s="1" t="inlineStr">
        <is>
          <t xml:space="preserve">M12 KPIs and recovery</t>
        </is>
      </c>
      <c r="C99" s="1" t="inlineStr">
        <is>
          <t xml:space="preserve">Values colour by the health corridor</t>
        </is>
      </c>
      <c r="D99" s="1" t="inlineStr">
        <is>
          <t xml:space="preserve">Priya</t>
        </is>
      </c>
      <c r="E99" s="1" t="inlineStr">
        <is>
          <t xml:space="preserve">M12-01 done</t>
        </is>
      </c>
      <c r="F99" s="1" t="inlineStr">
        <is>
          <t xml:space="preserve">1. In the current period cell of Test NPS type 95 and press Enter
2. Change it to 80
3. Change it to 60</t>
        </is>
      </c>
      <c r="G99" s="1" t="inlineStr">
        <is>
          <t xml:space="preserve">95 green and healthy. 80 amber and watch. 60 red and unhealthy. "Now" shows the percentage</t>
        </is>
      </c>
      <c r="H99" s="1" t="inlineStr">
        <is>
          <t xml:space="preserve">High</t>
        </is>
      </c>
      <c r="I99" s="1"/>
      <c r="J99" s="5" t="inlineStr">
        <is>
          <t xml:space="preserve">Not Run</t>
        </is>
      </c>
      <c r="K99" s="5"/>
      <c r="L99" s="5"/>
      <c r="M99" s="5"/>
      <c r="N99" s="5"/>
    </row>
    <row r="100">
      <c r="A100" s="1" t="inlineStr">
        <is>
          <t xml:space="preserve">M12-03</t>
        </is>
      </c>
      <c r="B100" s="1" t="inlineStr">
        <is>
          <t xml:space="preserve">M12 KPIs and recovery</t>
        </is>
      </c>
      <c r="C100" s="1" t="inlineStr">
        <is>
          <t xml:space="preserve">Lower-is-better KPI reverses the maths</t>
        </is>
      </c>
      <c r="D100" s="1" t="inlineStr">
        <is>
          <t xml:space="preserve">Priya</t>
        </is>
      </c>
      <c r="E100" s="1" t="inlineStr">
        <is>
          <t xml:space="preserve">None</t>
        </is>
      </c>
      <c r="F100" s="1" t="inlineStr">
        <is>
          <t xml:space="preserve">1. Add KPI Support backlog, Better when lower, target 100
2. Enter 125</t>
        </is>
      </c>
      <c r="G100" s="1" t="inlineStr">
        <is>
          <t xml:space="preserve">Amber, 80%, watch</t>
        </is>
      </c>
      <c r="H100" s="1" t="inlineStr">
        <is>
          <t xml:space="preserve">Medium</t>
        </is>
      </c>
      <c r="I100" s="1"/>
      <c r="J100" s="5" t="inlineStr">
        <is>
          <t xml:space="preserve">Not Run</t>
        </is>
      </c>
      <c r="K100" s="5"/>
      <c r="L100" s="5"/>
      <c r="M100" s="5"/>
      <c r="N100" s="5"/>
    </row>
    <row r="101">
      <c r="A101" s="1" t="inlineStr">
        <is>
          <t xml:space="preserve">M12-04</t>
        </is>
      </c>
      <c r="B101" s="1" t="inlineStr">
        <is>
          <t xml:space="preserve">M12 KPIs and recovery</t>
        </is>
      </c>
      <c r="C101" s="1" t="inlineStr">
        <is>
          <t xml:space="preserve">Grid refuses text and handles clearing</t>
        </is>
      </c>
      <c r="D101" s="1" t="inlineStr">
        <is>
          <t xml:space="preserve">Priya</t>
        </is>
      </c>
      <c r="E101" s="1" t="inlineStr">
        <is>
          <t xml:space="preserve">M12-01 done</t>
        </is>
      </c>
      <c r="F101" s="1" t="inlineStr">
        <is>
          <t xml:space="preserve">1. Type abc in a cell and press Enter
2. Clear a cell and press Enter
3. Type a value and press Esc</t>
        </is>
      </c>
      <c r="G101" s="1" t="inlineStr">
        <is>
          <t xml:space="preserve">abc: "A value has to be a number, or empty to clear it." Clearing shows no data. Esc restores the old value</t>
        </is>
      </c>
      <c r="H101" s="1" t="inlineStr">
        <is>
          <t xml:space="preserve">Medium</t>
        </is>
      </c>
      <c r="I101" s="1"/>
      <c r="J101" s="5" t="inlineStr">
        <is>
          <t xml:space="preserve">Not Run</t>
        </is>
      </c>
      <c r="K101" s="5"/>
      <c r="L101" s="5"/>
      <c r="M101" s="5"/>
      <c r="N101" s="5"/>
    </row>
    <row r="102">
      <c r="A102" s="1" t="inlineStr">
        <is>
          <t xml:space="preserve">M12-05</t>
        </is>
      </c>
      <c r="B102" s="1" t="inlineStr">
        <is>
          <t xml:space="preserve">M12 KPIs and recovery</t>
        </is>
      </c>
      <c r="C102" s="1" t="inlineStr">
        <is>
          <t xml:space="preserve">Add a category and filter</t>
        </is>
      </c>
      <c r="D102" s="1" t="inlineStr">
        <is>
          <t xml:space="preserve">Priya</t>
        </is>
      </c>
      <c r="E102" s="1" t="inlineStr">
        <is>
          <t xml:space="preserve">None</t>
        </is>
      </c>
      <c r="F102" s="1" t="inlineStr">
        <is>
          <t xml:space="preserve">1. In "Add a category" add Revenue
2. Filter the grid by "Category" and "State"</t>
        </is>
      </c>
      <c r="G102" s="1" t="inlineStr">
        <is>
          <t xml:space="preserve">The grid shows only matching KPIs. The filter stays in the URL after reload</t>
        </is>
      </c>
      <c r="H102" s="1" t="inlineStr">
        <is>
          <t xml:space="preserve">Low</t>
        </is>
      </c>
      <c r="I102" s="1"/>
      <c r="J102" s="5" t="inlineStr">
        <is>
          <t xml:space="preserve">Not Run</t>
        </is>
      </c>
      <c r="K102" s="5"/>
      <c r="L102" s="5"/>
      <c r="M102" s="5"/>
      <c r="N102" s="5"/>
    </row>
    <row r="103">
      <c r="A103" s="1" t="inlineStr">
        <is>
          <t xml:space="preserve">M12-06</t>
        </is>
      </c>
      <c r="B103" s="1" t="inlineStr">
        <is>
          <t xml:space="preserve">M12 KPIs and recovery</t>
        </is>
      </c>
      <c r="C103" s="1" t="inlineStr">
        <is>
          <t xml:space="preserve">KPI detail page</t>
        </is>
      </c>
      <c r="D103" s="1" t="inlineStr">
        <is>
          <t xml:space="preserve">Priya</t>
        </is>
      </c>
      <c r="E103" s="1" t="inlineStr">
        <is>
          <t xml:space="preserve">M12-02 done</t>
        </is>
      </c>
      <c r="F103" s="1" t="inlineStr">
        <is>
          <t xml:space="preserve">1. Click Test NPS</t>
        </is>
      </c>
      <c r="G103" s="1" t="inlineStr">
        <is>
          <t xml:space="preserve">Chart "The periods, against the corridor", the "Records" table and "healthy at 90%, watch at 70%"</t>
        </is>
      </c>
      <c r="H103" s="1" t="inlineStr">
        <is>
          <t xml:space="preserve">Medium</t>
        </is>
      </c>
      <c r="I103" s="1"/>
      <c r="J103" s="5" t="inlineStr">
        <is>
          <t xml:space="preserve">Not Run</t>
        </is>
      </c>
      <c r="K103" s="5"/>
      <c r="L103" s="5"/>
      <c r="M103" s="5"/>
      <c r="N103" s="5"/>
    </row>
    <row r="104">
      <c r="A104" s="1" t="inlineStr">
        <is>
          <t xml:space="preserve">M12-07</t>
        </is>
      </c>
      <c r="B104" s="1" t="inlineStr">
        <is>
          <t xml:space="preserve">M12 KPIs and recovery</t>
        </is>
      </c>
      <c r="C104" s="1" t="inlineStr">
        <is>
          <t xml:space="preserve">A calculated KPI from a formula</t>
        </is>
      </c>
      <c r="D104" s="1" t="inlineStr">
        <is>
          <t xml:space="preserve">Priya</t>
        </is>
      </c>
      <c r="E104" s="1" t="inlineStr">
        <is>
          <t xml:space="preserve">Two KPIs with values</t>
        </is>
      </c>
      <c r="F104" s="1" t="inlineStr">
        <is>
          <t xml:space="preserve">1. Open a third KPI, section Formula
2. Pick one source only and click "Save the formula"
3. Pick sum with two sources and save</t>
        </is>
      </c>
      <c r="G104" s="1" t="inlineStr">
        <is>
          <t xml:space="preserve">One source: "One source is a copy, not a calculation." Two sources: "Saved and evaluated for this period." The grid cell becomes read-only</t>
        </is>
      </c>
      <c r="H104" s="1" t="inlineStr">
        <is>
          <t xml:space="preserve">Medium</t>
        </is>
      </c>
      <c r="I104" s="1"/>
      <c r="J104" s="5" t="inlineStr">
        <is>
          <t xml:space="preserve">Not Run</t>
        </is>
      </c>
      <c r="K104" s="5"/>
      <c r="L104" s="5"/>
      <c r="M104" s="5"/>
      <c r="N104" s="5"/>
    </row>
    <row r="105">
      <c r="A105" s="1" t="inlineStr">
        <is>
          <t xml:space="preserve">M12-08</t>
        </is>
      </c>
      <c r="B105" s="1" t="inlineStr">
        <is>
          <t xml:space="preserve">M12 KPIs and recovery</t>
        </is>
      </c>
      <c r="C105" s="1" t="inlineStr">
        <is>
          <t xml:space="preserve">Build a KPI tree with a driver</t>
        </is>
      </c>
      <c r="D105" s="1" t="inlineStr">
        <is>
          <t xml:space="preserve">Priya</t>
        </is>
      </c>
      <c r="E105" s="1" t="inlineStr">
        <is>
          <t xml:space="preserve">None</t>
        </is>
      </c>
      <c r="F105" s="1" t="inlineStr">
        <is>
          <t xml:space="preserve">1. Open KPIs, Trees
2. In "Name a tree" type Operating margin and click "Name it"
3. File Test NPS into it with "File it"
4. Click "add driver" and add Qualified leads, leading</t>
        </is>
      </c>
      <c r="G105" s="1" t="inlineStr">
        <is>
          <t xml:space="preserve">The tree lists Test NPS with Qualified leads under it</t>
        </is>
      </c>
      <c r="H105" s="1" t="inlineStr">
        <is>
          <t xml:space="preserve">Medium</t>
        </is>
      </c>
      <c r="I105" s="1"/>
      <c r="J105" s="5" t="inlineStr">
        <is>
          <t xml:space="preserve">Not Run</t>
        </is>
      </c>
      <c r="K105" s="5"/>
      <c r="L105" s="5"/>
      <c r="M105" s="5"/>
      <c r="N105" s="5"/>
    </row>
    <row r="106">
      <c r="A106" s="1" t="inlineStr">
        <is>
          <t xml:space="preserve">M12-09</t>
        </is>
      </c>
      <c r="B106" s="1" t="inlineStr">
        <is>
          <t xml:space="preserve">M12 KPIs and recovery</t>
        </is>
      </c>
      <c r="C106" s="1" t="inlineStr">
        <is>
          <t xml:space="preserve">An unhealthy KPI appears on the recovery board</t>
        </is>
      </c>
      <c r="D106" s="1" t="inlineStr">
        <is>
          <t xml:space="preserve">Priya</t>
        </is>
      </c>
      <c r="E106" s="1" t="inlineStr">
        <is>
          <t xml:space="preserve">Test NPS at 60</t>
        </is>
      </c>
      <c r="F106" s="1" t="inlineStr">
        <is>
          <t xml:space="preserve">1. Open KPIs, "Recovery board"</t>
        </is>
      </c>
      <c r="G106" s="1" t="inlineStr">
        <is>
          <t xml:space="preserve">Test NPS card with chip "unhealthy", 60% and "Launch recovery"</t>
        </is>
      </c>
      <c r="H106" s="1" t="inlineStr">
        <is>
          <t xml:space="preserve">High</t>
        </is>
      </c>
      <c r="I106" s="1"/>
      <c r="J106" s="5" t="inlineStr">
        <is>
          <t xml:space="preserve">Not Run</t>
        </is>
      </c>
      <c r="K106" s="5"/>
      <c r="L106" s="5"/>
      <c r="M106" s="5"/>
      <c r="N106" s="5"/>
    </row>
    <row r="107">
      <c r="A107" s="1" t="inlineStr">
        <is>
          <t xml:space="preserve">M12-10</t>
        </is>
      </c>
      <c r="B107" s="1" t="inlineStr">
        <is>
          <t xml:space="preserve">M12 KPIs and recovery</t>
        </is>
      </c>
      <c r="C107" s="1" t="inlineStr">
        <is>
          <t xml:space="preserve">Launch a recovery objective</t>
        </is>
      </c>
      <c r="D107" s="1" t="inlineStr">
        <is>
          <t xml:space="preserve">Priya</t>
        </is>
      </c>
      <c r="E107" s="1" t="inlineStr">
        <is>
          <t xml:space="preserve">M12-09 done. A current quarterly cycle exists</t>
        </is>
      </c>
      <c r="F107" s="1" t="inlineStr">
        <is>
          <t xml:space="preserve">1. Click "Launch recovery"
2. Click it again if still visible
3. Open the new objective</t>
        </is>
      </c>
      <c r="G107" s="1" t="inlineStr">
        <is>
          <t xml:space="preserve">Objective "Bring Test NPS back to 100" with one key result per leading driver. KPI chip becomes "recovering". A second launch is refused</t>
        </is>
      </c>
      <c r="H107" s="1" t="inlineStr">
        <is>
          <t xml:space="preserve">High</t>
        </is>
      </c>
      <c r="I107" s="1"/>
      <c r="J107" s="5" t="inlineStr">
        <is>
          <t xml:space="preserve">Not Run</t>
        </is>
      </c>
      <c r="K107" s="5"/>
      <c r="L107" s="5"/>
      <c r="M107" s="5"/>
      <c r="N107" s="5"/>
    </row>
    <row r="108">
      <c r="A108" s="1" t="inlineStr">
        <is>
          <t xml:space="preserve">M12-11</t>
        </is>
      </c>
      <c r="B108" s="1" t="inlineStr">
        <is>
          <t xml:space="preserve">M12 KPIs and recovery</t>
        </is>
      </c>
      <c r="C108" s="1" t="inlineStr">
        <is>
          <t xml:space="preserve">Changing a threshold changes the colours</t>
        </is>
      </c>
      <c r="D108" s="1" t="inlineStr">
        <is>
          <t xml:space="preserve">Admin</t>
        </is>
      </c>
      <c r="E108" s="1" t="inlineStr">
        <is>
          <t xml:space="preserve">M12-02 done</t>
        </is>
      </c>
      <c r="F108" s="1" t="inlineStr">
        <is>
          <t xml:space="preserve">1. Open Admin, Rhythm, "KPIs and recovery"
2. Raise the healthy line to 96 and save
3. Open KPIs
4. Reset to defaults afterwards</t>
        </is>
      </c>
      <c r="G108" s="1" t="inlineStr">
        <is>
          <t xml:space="preserve">The 95 value turns amber. After reset it is green again</t>
        </is>
      </c>
      <c r="H108" s="1" t="inlineStr">
        <is>
          <t xml:space="preserve">Medium</t>
        </is>
      </c>
      <c r="I108" s="1"/>
      <c r="J108" s="5" t="inlineStr">
        <is>
          <t xml:space="preserve">Not Run</t>
        </is>
      </c>
      <c r="K108" s="5"/>
      <c r="L108" s="5"/>
      <c r="M108" s="5"/>
      <c r="N108" s="5"/>
    </row>
    <row r="109">
      <c r="A109" s="3" t="inlineStr">
        <is>
          <t xml:space="preserve">M13 Initiatives, board and tasks: Plan the work behind key results and move it on the board. Needs M11 first. About 30 min. Full workflow on the Module Guide sheet.</t>
        </is>
      </c>
      <c r="B109" s="3"/>
      <c r="C109" s="3"/>
      <c r="D109" s="3"/>
      <c r="E109" s="3"/>
      <c r="F109" s="3"/>
      <c r="G109" s="3"/>
      <c r="H109" s="3"/>
      <c r="I109" s="3"/>
      <c r="J109" s="3"/>
      <c r="K109" s="3"/>
      <c r="L109" s="3"/>
      <c r="M109" s="3"/>
      <c r="N109" s="3"/>
    </row>
    <row r="110">
      <c r="A110" s="1" t="inlineStr">
        <is>
          <t xml:space="preserve">M13-01</t>
        </is>
      </c>
      <c r="B110" s="1" t="inlineStr">
        <is>
          <t xml:space="preserve">M13 Initiatives, board and tasks</t>
        </is>
      </c>
      <c r="C110" s="1" t="inlineStr">
        <is>
          <t xml:space="preserve">Add an initiative</t>
        </is>
      </c>
      <c r="D110" s="1" t="inlineStr">
        <is>
          <t xml:space="preserve">Mei</t>
        </is>
      </c>
      <c r="E110" s="1" t="inlineStr">
        <is>
          <t xml:space="preserve">M07 done</t>
        </is>
      </c>
      <c r="F110" s="1" t="inlineStr">
        <is>
          <t xml:space="preserve">1. Open Initiatives, click "Add" with empty fields
2. Title Rebuild the activation flow, Space Product, Owner Mei, start and end dates, click "Add"</t>
        </is>
      </c>
      <c r="G110" s="1" t="inlineStr">
        <is>
          <t xml:space="preserve">Empty: "An initiative needs a title. What work is this?" Then the initiative is listed with "not yet behind a key result"</t>
        </is>
      </c>
      <c r="H110" s="1" t="inlineStr">
        <is>
          <t xml:space="preserve">High</t>
        </is>
      </c>
      <c r="I110" s="1"/>
      <c r="J110" s="5" t="inlineStr">
        <is>
          <t xml:space="preserve">Not Run</t>
        </is>
      </c>
      <c r="K110" s="5"/>
      <c r="L110" s="5"/>
      <c r="M110" s="5"/>
      <c r="N110" s="5"/>
    </row>
    <row r="111">
      <c r="A111" s="1" t="inlineStr">
        <is>
          <t xml:space="preserve">M13-02</t>
        </is>
      </c>
      <c r="B111" s="1" t="inlineStr">
        <is>
          <t xml:space="preserve">M13 Initiatives, board and tasks</t>
        </is>
      </c>
      <c r="C111" s="1" t="inlineStr">
        <is>
          <t xml:space="preserve">Link an initiative to a key result</t>
        </is>
      </c>
      <c r="D111" s="1" t="inlineStr">
        <is>
          <t xml:space="preserve">Mei</t>
        </is>
      </c>
      <c r="E111" s="1" t="inlineStr">
        <is>
          <t xml:space="preserve">M13-01 done</t>
        </is>
      </c>
      <c r="F111" s="1" t="inlineStr">
        <is>
          <t xml:space="preserve">1. Open the initiative
2. In "Record this work against a key result" pick one and click "Link"
3. Click "Unlink" then link again</t>
        </is>
      </c>
      <c r="G111" s="1" t="inlineStr">
        <is>
          <t xml:space="preserve">The key result is listed and can be removed and added back</t>
        </is>
      </c>
      <c r="H111" s="1" t="inlineStr">
        <is>
          <t xml:space="preserve">High</t>
        </is>
      </c>
      <c r="I111" s="1"/>
      <c r="J111" s="5" t="inlineStr">
        <is>
          <t xml:space="preserve">Not Run</t>
        </is>
      </c>
      <c r="K111" s="5"/>
      <c r="L111" s="5"/>
      <c r="M111" s="5"/>
      <c r="N111" s="5"/>
    </row>
    <row r="112">
      <c r="A112" s="1" t="inlineStr">
        <is>
          <t xml:space="preserve">M13-03</t>
        </is>
      </c>
      <c r="B112" s="1" t="inlineStr">
        <is>
          <t xml:space="preserve">M13 Initiatives, board and tasks</t>
        </is>
      </c>
      <c r="C112" s="1" t="inlineStr">
        <is>
          <t xml:space="preserve">Over-capacity warning</t>
        </is>
      </c>
      <c r="D112" s="1" t="inlineStr">
        <is>
          <t xml:space="preserve">Mei</t>
        </is>
      </c>
      <c r="E112" s="1" t="inlineStr">
        <is>
          <t xml:space="preserve">M13-01 done</t>
        </is>
      </c>
      <c r="F112" s="1" t="inlineStr">
        <is>
          <t xml:space="preserve">1. Set Capacity to Exceeds</t>
        </is>
      </c>
      <c r="G112" s="1" t="inlineStr">
        <is>
          <t xml:space="preserve">"This is over capacity, so publish gate five refuses the cycle..."</t>
        </is>
      </c>
      <c r="H112" s="1" t="inlineStr">
        <is>
          <t xml:space="preserve">Medium</t>
        </is>
      </c>
      <c r="I112" s="1"/>
      <c r="J112" s="5" t="inlineStr">
        <is>
          <t xml:space="preserve">Not Run</t>
        </is>
      </c>
      <c r="K112" s="5"/>
      <c r="L112" s="5"/>
      <c r="M112" s="5"/>
      <c r="N112" s="5"/>
    </row>
    <row r="113">
      <c r="A113" s="1" t="inlineStr">
        <is>
          <t xml:space="preserve">M13-04</t>
        </is>
      </c>
      <c r="B113" s="1" t="inlineStr">
        <is>
          <t xml:space="preserve">M13 Initiatives, board and tasks</t>
        </is>
      </c>
      <c r="C113" s="1" t="inlineStr">
        <is>
          <t xml:space="preserve">Add a task on the board</t>
        </is>
      </c>
      <c r="D113" s="1" t="inlineStr">
        <is>
          <t xml:space="preserve">Sara</t>
        </is>
      </c>
      <c r="E113" s="1" t="inlineStr">
        <is>
          <t xml:space="preserve">M07 done</t>
        </is>
      </c>
      <c r="F113" s="1" t="inlineStr">
        <is>
          <t xml:space="preserve">1. Open Board, pick Product
2. Click "Add" with an empty title
3. Add Rewrite the first-run screen, column To do, a key result, a due date</t>
        </is>
      </c>
      <c r="G113" s="1" t="inlineStr">
        <is>
          <t xml:space="preserve">Empty: "A task needs a title. What has to happen?" Then the card is in "To do" with the key result and due date</t>
        </is>
      </c>
      <c r="H113" s="1" t="inlineStr">
        <is>
          <t xml:space="preserve">High</t>
        </is>
      </c>
      <c r="I113" s="1"/>
      <c r="J113" s="5" t="inlineStr">
        <is>
          <t xml:space="preserve">Not Run</t>
        </is>
      </c>
      <c r="K113" s="5"/>
      <c r="L113" s="5"/>
      <c r="M113" s="5"/>
      <c r="N113" s="5"/>
    </row>
    <row r="114">
      <c r="A114" s="1" t="inlineStr">
        <is>
          <t xml:space="preserve">M13-05</t>
        </is>
      </c>
      <c r="B114" s="1" t="inlineStr">
        <is>
          <t xml:space="preserve">M13 Initiatives, board and tasks</t>
        </is>
      </c>
      <c r="C114" s="1" t="inlineStr">
        <is>
          <t xml:space="preserve">Move a card by drag and by arrows</t>
        </is>
      </c>
      <c r="D114" s="1" t="inlineStr">
        <is>
          <t xml:space="preserve">Sara</t>
        </is>
      </c>
      <c r="E114" s="1" t="inlineStr">
        <is>
          <t xml:space="preserve">M13-04 done</t>
        </is>
      </c>
      <c r="F114" s="1" t="inlineStr">
        <is>
          <t xml:space="preserve">1. Drag the card to "In progress"
2. Use the arrow button to move it to "Done"</t>
        </is>
      </c>
      <c r="G114" s="1" t="inlineStr">
        <is>
          <t xml:space="preserve">The card moves and the column counts change. Moving never changes key result progress</t>
        </is>
      </c>
      <c r="H114" s="1" t="inlineStr">
        <is>
          <t xml:space="preserve">High</t>
        </is>
      </c>
      <c r="I114" s="1"/>
      <c r="J114" s="5" t="inlineStr">
        <is>
          <t xml:space="preserve">Not Run</t>
        </is>
      </c>
      <c r="K114" s="5"/>
      <c r="L114" s="5"/>
      <c r="M114" s="5"/>
      <c r="N114" s="5"/>
    </row>
    <row r="115">
      <c r="A115" s="1" t="inlineStr">
        <is>
          <t xml:space="preserve">M13-06</t>
        </is>
      </c>
      <c r="B115" s="1" t="inlineStr">
        <is>
          <t xml:space="preserve">M13 Initiatives, board and tasks</t>
        </is>
      </c>
      <c r="C115" s="1" t="inlineStr">
        <is>
          <t xml:space="preserve">The board updates live for others</t>
        </is>
      </c>
      <c r="D115" s="1" t="inlineStr">
        <is>
          <t xml:space="preserve">Priya</t>
        </is>
      </c>
      <c r="E115" s="1" t="inlineStr">
        <is>
          <t xml:space="preserve">Priya and Sara both on the Product board</t>
        </is>
      </c>
      <c r="F115" s="1" t="inlineStr">
        <is>
          <t xml:space="preserve">1. Sara moves a card</t>
        </is>
      </c>
      <c r="G115" s="1" t="inlineStr">
        <is>
          <t xml:space="preserve">Priya's board shows the move without reloading</t>
        </is>
      </c>
      <c r="H115" s="1" t="inlineStr">
        <is>
          <t xml:space="preserve">Medium</t>
        </is>
      </c>
      <c r="I115" s="1"/>
      <c r="J115" s="5" t="inlineStr">
        <is>
          <t xml:space="preserve">Not Run</t>
        </is>
      </c>
      <c r="K115" s="5"/>
      <c r="L115" s="5"/>
      <c r="M115" s="5"/>
      <c r="N115" s="5"/>
    </row>
    <row r="116">
      <c r="A116" s="1" t="inlineStr">
        <is>
          <t xml:space="preserve">M13-07</t>
        </is>
      </c>
      <c r="B116" s="1" t="inlineStr">
        <is>
          <t xml:space="preserve">M13 Initiatives, board and tasks</t>
        </is>
      </c>
      <c r="C116" s="1" t="inlineStr">
        <is>
          <t xml:space="preserve">Done work with no movement raises a warning</t>
        </is>
      </c>
      <c r="D116" s="1" t="inlineStr">
        <is>
          <t xml:space="preserve">Sara</t>
        </is>
      </c>
      <c r="E116" s="1" t="inlineStr">
        <is>
          <t xml:space="preserve">A key result with linked tasks and no value change</t>
        </is>
      </c>
      <c r="F116" s="1" t="inlineStr">
        <is>
          <t xml:space="preserve">1. Move every linked task to Done
2. Read the rail "What this work is meant to move"</t>
        </is>
      </c>
      <c r="G116" s="1" t="inlineStr">
        <is>
          <t xml:space="preserve">Warning that all linked tasks are complete and the measure is still at its baseline</t>
        </is>
      </c>
      <c r="H116" s="1" t="inlineStr">
        <is>
          <t xml:space="preserve">Medium</t>
        </is>
      </c>
      <c r="I116" s="1"/>
      <c r="J116" s="5" t="inlineStr">
        <is>
          <t xml:space="preserve">Not Run</t>
        </is>
      </c>
      <c r="K116" s="5"/>
      <c r="L116" s="5"/>
      <c r="M116" s="5"/>
      <c r="N116" s="5"/>
    </row>
    <row r="117">
      <c r="A117" s="1" t="inlineStr">
        <is>
          <t xml:space="preserve">M13-08</t>
        </is>
      </c>
      <c r="B117" s="1" t="inlineStr">
        <is>
          <t xml:space="preserve">M13 Initiatives, board and tasks</t>
        </is>
      </c>
      <c r="C117" s="1" t="inlineStr">
        <is>
          <t xml:space="preserve">Task checklist, assignees and due date</t>
        </is>
      </c>
      <c r="D117" s="1" t="inlineStr">
        <is>
          <t xml:space="preserve">Sara</t>
        </is>
      </c>
      <c r="E117" s="1" t="inlineStr">
        <is>
          <t xml:space="preserve">M13-04 done</t>
        </is>
      </c>
      <c r="F117" s="1" t="inlineStr">
        <is>
          <t xml:space="preserve">1. Open the task
2. Click "Add" on an empty checklist line
3. Add two lines and tick one
4. Assign Mei. Change the due date</t>
        </is>
      </c>
      <c r="G117" s="1" t="inlineStr">
        <is>
          <t xml:space="preserve">Empty: "A checklist line needs some words." Count shows "1 of 2 done". Mei is under "Assignees"</t>
        </is>
      </c>
      <c r="H117" s="1" t="inlineStr">
        <is>
          <t xml:space="preserve">Medium</t>
        </is>
      </c>
      <c r="I117" s="1" t="inlineStr">
        <is>
          <t xml:space="preserve">Tasks have no comments or files by design today</t>
        </is>
      </c>
      <c r="J117" s="5" t="inlineStr">
        <is>
          <t xml:space="preserve">Not Run</t>
        </is>
      </c>
      <c r="K117" s="5"/>
      <c r="L117" s="5"/>
      <c r="M117" s="5"/>
      <c r="N117" s="5"/>
    </row>
    <row r="118">
      <c r="A118" s="1" t="inlineStr">
        <is>
          <t xml:space="preserve">M13-09</t>
        </is>
      </c>
      <c r="B118" s="1" t="inlineStr">
        <is>
          <t xml:space="preserve">M13 Initiatives, board and tasks</t>
        </is>
      </c>
      <c r="C118" s="1" t="inlineStr">
        <is>
          <t xml:space="preserve">Only the admin can delete a task</t>
        </is>
      </c>
      <c r="D118" s="1" t="inlineStr">
        <is>
          <t xml:space="preserve">Sara, then Admin</t>
        </is>
      </c>
      <c r="E118" s="1" t="inlineStr">
        <is>
          <t xml:space="preserve">M13-04 done</t>
        </is>
      </c>
      <c r="F118" s="1" t="inlineStr">
        <is>
          <t xml:space="preserve">1. As Sara open the task and look for "Delete"
2. As Admin delete it</t>
        </is>
      </c>
      <c r="G118" s="1" t="inlineStr">
        <is>
          <t xml:space="preserve">Sara sees no Delete. Admin's delete returns to the board and the card is gone</t>
        </is>
      </c>
      <c r="H118" s="1" t="inlineStr">
        <is>
          <t xml:space="preserve">Medium</t>
        </is>
      </c>
      <c r="I118" s="1"/>
      <c r="J118" s="5" t="inlineStr">
        <is>
          <t xml:space="preserve">Not Run</t>
        </is>
      </c>
      <c r="K118" s="5"/>
      <c r="L118" s="5"/>
      <c r="M118" s="5"/>
      <c r="N118" s="5"/>
    </row>
    <row r="119">
      <c r="A119" s="3" t="inlineStr">
        <is>
          <t xml:space="preserve">M14 Check-in, review and inbox: Report progress every week and have the reviewer acknowledge it. Needs M11 first. About 30 min. Full workflow on the Module Guide sheet.</t>
        </is>
      </c>
      <c r="B119" s="3"/>
      <c r="C119" s="3"/>
      <c r="D119" s="3"/>
      <c r="E119" s="3"/>
      <c r="F119" s="3"/>
      <c r="G119" s="3"/>
      <c r="H119" s="3"/>
      <c r="I119" s="3"/>
      <c r="J119" s="3"/>
      <c r="K119" s="3"/>
      <c r="L119" s="3"/>
      <c r="M119" s="3"/>
      <c r="N119" s="3"/>
    </row>
    <row r="120">
      <c r="A120" s="1" t="inlineStr">
        <is>
          <t xml:space="preserve">M14-01</t>
        </is>
      </c>
      <c r="B120" s="1" t="inlineStr">
        <is>
          <t xml:space="preserve">M14 Check-in, review and inbox</t>
        </is>
      </c>
      <c r="C120" s="1" t="inlineStr">
        <is>
          <t xml:space="preserve">Only what is due is listed</t>
        </is>
      </c>
      <c r="D120" s="1" t="inlineStr">
        <is>
          <t xml:space="preserve">Sara</t>
        </is>
      </c>
      <c r="E120" s="1" t="inlineStr">
        <is>
          <t xml:space="preserve">Sara champions a goal that is due</t>
        </is>
      </c>
      <c r="F120" s="1" t="inlineStr">
        <is>
          <t xml:space="preserve">1. Open Check in</t>
        </is>
      </c>
      <c r="G120" s="1" t="inlineStr">
        <is>
          <t xml:space="preserve">Sara's goal is listed. If nothing is due: "Nothing of yours is due."</t>
        </is>
      </c>
      <c r="H120" s="1" t="inlineStr">
        <is>
          <t xml:space="preserve">High</t>
        </is>
      </c>
      <c r="I120" s="1" t="inlineStr">
        <is>
          <t xml:space="preserve">A goal is due only near its next check-in date. Set Admin, Rhythm check-in frequency to daily to make it due today</t>
        </is>
      </c>
      <c r="J120" s="5" t="inlineStr">
        <is>
          <t xml:space="preserve">Not Run</t>
        </is>
      </c>
      <c r="K120" s="5"/>
      <c r="L120" s="5"/>
      <c r="M120" s="5"/>
      <c r="N120" s="5"/>
    </row>
    <row r="121">
      <c r="A121" s="1" t="inlineStr">
        <is>
          <t xml:space="preserve">M14-02</t>
        </is>
      </c>
      <c r="B121" s="1" t="inlineStr">
        <is>
          <t xml:space="preserve">M14 Check-in, review and inbox</t>
        </is>
      </c>
      <c r="C121" s="1" t="inlineStr">
        <is>
          <t xml:space="preserve">A check-in needs a narrative</t>
        </is>
      </c>
      <c r="D121" s="1" t="inlineStr">
        <is>
          <t xml:space="preserve">Sara</t>
        </is>
      </c>
      <c r="E121" s="1" t="inlineStr">
        <is>
          <t xml:space="preserve">M14-01 done</t>
        </is>
      </c>
      <c r="F121" s="1" t="inlineStr">
        <is>
          <t xml:space="preserve">1. Pick the goal
2. Set "Status" to "Caution", set confidence and new key result values
3. Leave the narrative empty and click "Publish"</t>
        </is>
      </c>
      <c r="G121" s="1" t="inlineStr">
        <is>
          <t xml:space="preserve">"A check-in needs a narrative. What moved, what is in the way, and what happens next?"</t>
        </is>
      </c>
      <c r="H121" s="1" t="inlineStr">
        <is>
          <t xml:space="preserve">High</t>
        </is>
      </c>
      <c r="I121" s="1"/>
      <c r="J121" s="5" t="inlineStr">
        <is>
          <t xml:space="preserve">Not Run</t>
        </is>
      </c>
      <c r="K121" s="5"/>
      <c r="L121" s="5"/>
      <c r="M121" s="5"/>
      <c r="N121" s="5"/>
    </row>
    <row r="122">
      <c r="A122" s="1" t="inlineStr">
        <is>
          <t xml:space="preserve">M14-03</t>
        </is>
      </c>
      <c r="B122" s="1" t="inlineStr">
        <is>
          <t xml:space="preserve">M14 Check-in, review and inbox</t>
        </is>
      </c>
      <c r="C122" s="1" t="inlineStr">
        <is>
          <t xml:space="preserve">Post a check-in</t>
        </is>
      </c>
      <c r="D122" s="1" t="inlineStr">
        <is>
          <t xml:space="preserve">Sara</t>
        </is>
      </c>
      <c r="E122" s="1" t="inlineStr">
        <is>
          <t xml:space="preserve">M14-02 done</t>
        </is>
      </c>
      <c r="F122" s="1" t="inlineStr">
        <is>
          <t xml:space="preserve">1. Write the narrative and click "Publish"</t>
        </is>
      </c>
      <c r="G122" s="1" t="inlineStr">
        <is>
          <t xml:space="preserve">"Check-in history" shows it as "awaiting the reviewer". The goal page shows the new values</t>
        </is>
      </c>
      <c r="H122" s="1" t="inlineStr">
        <is>
          <t xml:space="preserve">High</t>
        </is>
      </c>
      <c r="I122" s="1"/>
      <c r="J122" s="5" t="inlineStr">
        <is>
          <t xml:space="preserve">Not Run</t>
        </is>
      </c>
      <c r="K122" s="5"/>
      <c r="L122" s="5"/>
      <c r="M122" s="5"/>
      <c r="N122" s="5"/>
    </row>
    <row r="123">
      <c r="A123" s="1" t="inlineStr">
        <is>
          <t xml:space="preserve">M14-04</t>
        </is>
      </c>
      <c r="B123" s="1" t="inlineStr">
        <is>
          <t xml:space="preserve">M14 Check-in, review and inbox</t>
        </is>
      </c>
      <c r="C123" s="1" t="inlineStr">
        <is>
          <t xml:space="preserve">Someone who is not the champion cannot post</t>
        </is>
      </c>
      <c r="D123" s="1" t="inlineStr">
        <is>
          <t xml:space="preserve">Jonas</t>
        </is>
      </c>
      <c r="E123" s="1" t="inlineStr">
        <is>
          <t xml:space="preserve">M14-03 done</t>
        </is>
      </c>
      <c r="F123" s="1" t="inlineStr">
        <is>
          <t xml:space="preserve">1. Open Sara's goal check-ins</t>
        </is>
      </c>
      <c r="G123" s="1" t="inlineStr">
        <is>
          <t xml:space="preserve">"You can read this goal's check-ins but not post one. The champion posts them."</t>
        </is>
      </c>
      <c r="H123" s="1" t="inlineStr">
        <is>
          <t xml:space="preserve">High</t>
        </is>
      </c>
      <c r="I123" s="1"/>
      <c r="J123" s="5" t="inlineStr">
        <is>
          <t xml:space="preserve">Not Run</t>
        </is>
      </c>
      <c r="K123" s="5"/>
      <c r="L123" s="5"/>
      <c r="M123" s="5"/>
      <c r="N123" s="5"/>
    </row>
    <row r="124">
      <c r="A124" s="1" t="inlineStr">
        <is>
          <t xml:space="preserve">M14-05</t>
        </is>
      </c>
      <c r="B124" s="1" t="inlineStr">
        <is>
          <t xml:space="preserve">M14 Check-in, review and inbox</t>
        </is>
      </c>
      <c r="C124" s="1" t="inlineStr">
        <is>
          <t xml:space="preserve">The wrong reviewer cannot acknowledge</t>
        </is>
      </c>
      <c r="D124" s="1" t="inlineStr">
        <is>
          <t xml:space="preserve">Mei</t>
        </is>
      </c>
      <c r="E124" s="1" t="inlineStr">
        <is>
          <t xml:space="preserve">M14-03 done</t>
        </is>
      </c>
      <c r="F124" s="1" t="inlineStr">
        <is>
          <t xml:space="preserve">1. Open the check-in and try "Acknowledge"</t>
        </is>
      </c>
      <c r="G124" s="1" t="inlineStr">
        <is>
          <t xml:space="preserve">"Only this goal's reviewer can acknowledge its check-ins."</t>
        </is>
      </c>
      <c r="H124" s="1" t="inlineStr">
        <is>
          <t xml:space="preserve">Medium</t>
        </is>
      </c>
      <c r="I124" s="1"/>
      <c r="J124" s="5" t="inlineStr">
        <is>
          <t xml:space="preserve">Not Run</t>
        </is>
      </c>
      <c r="K124" s="5"/>
      <c r="L124" s="5"/>
      <c r="M124" s="5"/>
      <c r="N124" s="5"/>
    </row>
    <row r="125">
      <c r="A125" s="1" t="inlineStr">
        <is>
          <t xml:space="preserve">M14-06</t>
        </is>
      </c>
      <c r="B125" s="1" t="inlineStr">
        <is>
          <t xml:space="preserve">M14 Check-in, review and inbox</t>
        </is>
      </c>
      <c r="C125" s="1" t="inlineStr">
        <is>
          <t xml:space="preserve">The reviewer acknowledges from What you owe</t>
        </is>
      </c>
      <c r="D125" s="1" t="inlineStr">
        <is>
          <t xml:space="preserve">Priya</t>
        </is>
      </c>
      <c r="E125" s="1" t="inlineStr">
        <is>
          <t xml:space="preserve">M14-03 done</t>
        </is>
      </c>
      <c r="F125" s="1" t="inlineStr">
        <is>
          <t xml:space="preserve">1. Open Review
2. Find the check-in row and click its action</t>
        </is>
      </c>
      <c r="G125" s="1" t="inlineStr">
        <is>
          <t xml:space="preserve">The check-in shows "acknowledged". The row leaves the list. An empty list says "You are all caught up."</t>
        </is>
      </c>
      <c r="H125" s="1" t="inlineStr">
        <is>
          <t xml:space="preserve">High</t>
        </is>
      </c>
      <c r="I125" s="1"/>
      <c r="J125" s="5" t="inlineStr">
        <is>
          <t xml:space="preserve">Not Run</t>
        </is>
      </c>
      <c r="K125" s="5"/>
      <c r="L125" s="5"/>
      <c r="M125" s="5"/>
      <c r="N125" s="5"/>
    </row>
    <row r="126">
      <c r="A126" s="1" t="inlineStr">
        <is>
          <t xml:space="preserve">M14-07</t>
        </is>
      </c>
      <c r="B126" s="1" t="inlineStr">
        <is>
          <t xml:space="preserve">M14 Check-in, review and inbox</t>
        </is>
      </c>
      <c r="C126" s="1" t="inlineStr">
        <is>
          <t xml:space="preserve">Correct a check-in inside the window</t>
        </is>
      </c>
      <c r="D126" s="1" t="inlineStr">
        <is>
          <t xml:space="preserve">Sara</t>
        </is>
      </c>
      <c r="E126" s="1" t="inlineStr">
        <is>
          <t xml:space="preserve">M14-03 done</t>
        </is>
      </c>
      <c r="F126" s="1" t="inlineStr">
        <is>
          <t xml:space="preserve">1. Click "Correct it" and change the narrative</t>
        </is>
      </c>
      <c r="G126" s="1" t="inlineStr">
        <is>
          <t xml:space="preserve">The change saves. After the window: "The window has closed; post a new one instead"</t>
        </is>
      </c>
      <c r="H126" s="1" t="inlineStr">
        <is>
          <t xml:space="preserve">Low</t>
        </is>
      </c>
      <c r="I126" s="1"/>
      <c r="J126" s="5" t="inlineStr">
        <is>
          <t xml:space="preserve">Not Run</t>
        </is>
      </c>
      <c r="K126" s="5"/>
      <c r="L126" s="5"/>
      <c r="M126" s="5"/>
      <c r="N126" s="5"/>
    </row>
    <row r="127">
      <c r="A127" s="1" t="inlineStr">
        <is>
          <t xml:space="preserve">M14-08</t>
        </is>
      </c>
      <c r="B127" s="1" t="inlineStr">
        <is>
          <t xml:space="preserve">M14 Check-in, review and inbox</t>
        </is>
      </c>
      <c r="C127" s="1" t="inlineStr">
        <is>
          <t xml:space="preserve">Team confidence votes reveal together</t>
        </is>
      </c>
      <c r="D127" s="1" t="inlineStr">
        <is>
          <t xml:space="preserve">Sara, Priya, Mei</t>
        </is>
      </c>
      <c r="E127" s="1" t="inlineStr">
        <is>
          <t xml:space="preserve">M14-01 done</t>
        </is>
      </c>
      <c r="F127" s="1" t="inlineStr">
        <is>
          <t xml:space="preserve">1. Each person clicks "Vote" on a key result
2. Click "Reveal together"</t>
        </is>
      </c>
      <c r="G127" s="1" t="inlineStr">
        <is>
          <t xml:space="preserve">Before reveal each sees only "Your vote: X". After reveal all votes show</t>
        </is>
      </c>
      <c r="H127" s="1" t="inlineStr">
        <is>
          <t xml:space="preserve">Medium</t>
        </is>
      </c>
      <c r="I127" s="1"/>
      <c r="J127" s="5" t="inlineStr">
        <is>
          <t xml:space="preserve">Not Run</t>
        </is>
      </c>
      <c r="K127" s="5"/>
      <c r="L127" s="5"/>
      <c r="M127" s="5"/>
      <c r="N127" s="5"/>
    </row>
    <row r="128">
      <c r="A128" s="1" t="inlineStr">
        <is>
          <t xml:space="preserve">M14-09</t>
        </is>
      </c>
      <c r="B128" s="1" t="inlineStr">
        <is>
          <t xml:space="preserve">M14 Check-in, review and inbox</t>
        </is>
      </c>
      <c r="C128" s="1" t="inlineStr">
        <is>
          <t xml:space="preserve">Inbox: read, filter, snooze, mute</t>
        </is>
      </c>
      <c r="D128" s="1" t="inlineStr">
        <is>
          <t xml:space="preserve">Sara</t>
        </is>
      </c>
      <c r="E128" s="1" t="inlineStr">
        <is>
          <t xml:space="preserve">Sara has notifications (comment from M10-04)</t>
        </is>
      </c>
      <c r="F128" s="1" t="inlineStr">
        <is>
          <t xml:space="preserve">1. Open Inbox, switch to "Unread"
2. Click "Mark read"
3. Snooze another item for 1 hour
4. Click "Mute" on a group</t>
        </is>
      </c>
      <c r="G128" s="1" t="inlineStr">
        <is>
          <t xml:space="preserve">Unread count drops. Snoozed item is quiet. Muted group stops notifying</t>
        </is>
      </c>
      <c r="H128" s="1" t="inlineStr">
        <is>
          <t xml:space="preserve">Medium</t>
        </is>
      </c>
      <c r="I128" s="1"/>
      <c r="J128" s="5" t="inlineStr">
        <is>
          <t xml:space="preserve">Not Run</t>
        </is>
      </c>
      <c r="K128" s="5"/>
      <c r="L128" s="5"/>
      <c r="M128" s="5"/>
      <c r="N128" s="5"/>
    </row>
    <row r="129">
      <c r="A129" s="1" t="inlineStr">
        <is>
          <t xml:space="preserve">M14-10</t>
        </is>
      </c>
      <c r="B129" s="1" t="inlineStr">
        <is>
          <t xml:space="preserve">M14 Check-in, review and inbox</t>
        </is>
      </c>
      <c r="C129" s="1" t="inlineStr">
        <is>
          <t xml:space="preserve">A snooze never hides an obligation</t>
        </is>
      </c>
      <c r="D129" s="1" t="inlineStr">
        <is>
          <t xml:space="preserve">Priya</t>
        </is>
      </c>
      <c r="E129" s="1" t="inlineStr">
        <is>
          <t xml:space="preserve">Priya owes an acknowledgement</t>
        </is>
      </c>
      <c r="F129" s="1" t="inlineStr">
        <is>
          <t xml:space="preserve">1. Snooze the related nudge in Inbox
2. Open Review</t>
        </is>
      </c>
      <c r="G129" s="1" t="inlineStr">
        <is>
          <t xml:space="preserve">The item is still on Review</t>
        </is>
      </c>
      <c r="H129" s="1" t="inlineStr">
        <is>
          <t xml:space="preserve">High</t>
        </is>
      </c>
      <c r="I129" s="1"/>
      <c r="J129" s="5" t="inlineStr">
        <is>
          <t xml:space="preserve">Not Run</t>
        </is>
      </c>
      <c r="K129" s="5"/>
      <c r="L129" s="5"/>
      <c r="M129" s="5"/>
      <c r="N129" s="5"/>
    </row>
    <row r="130">
      <c r="A130" s="1" t="inlineStr">
        <is>
          <t xml:space="preserve">M14-11</t>
        </is>
      </c>
      <c r="B130" s="1" t="inlineStr">
        <is>
          <t xml:space="preserve">M14 Check-in, review and inbox</t>
        </is>
      </c>
      <c r="C130" s="1" t="inlineStr">
        <is>
          <t xml:space="preserve">A goal with no check-in turns Outdated</t>
        </is>
      </c>
      <c r="D130" s="1" t="inlineStr">
        <is>
          <t xml:space="preserve">Admin</t>
        </is>
      </c>
      <c r="E130" s="1" t="inlineStr">
        <is>
          <t xml:space="preserve">A goal past its check-in grace</t>
        </is>
      </c>
      <c r="F130" s="1" t="inlineStr">
        <is>
          <t xml:space="preserve">1. Wait for the scheduler, or ask the operator to run pnpm cadence:sweep
2. Open the work map</t>
        </is>
      </c>
      <c r="G130" s="1" t="inlineStr">
        <is>
          <t xml:space="preserve">The goal shows "Outdated", overriding its last reported health</t>
        </is>
      </c>
      <c r="H130" s="1" t="inlineStr">
        <is>
          <t xml:space="preserve">Medium</t>
        </is>
      </c>
      <c r="I130" s="1" t="inlineStr">
        <is>
          <t xml:space="preserve">Needs time or server access</t>
        </is>
      </c>
      <c r="J130" s="5" t="inlineStr">
        <is>
          <t xml:space="preserve">Not Run</t>
        </is>
      </c>
      <c r="K130" s="5"/>
      <c r="L130" s="5"/>
      <c r="M130" s="5"/>
      <c r="N130" s="5"/>
    </row>
    <row r="131">
      <c r="A131" s="3" t="inlineStr">
        <is>
          <t xml:space="preserve">M15 Weekly session: Run the four-step weekly session the product facilitates. Needs M14 first. About 30 min. Full workflow on the Module Guide sheet.</t>
        </is>
      </c>
      <c r="B131" s="3"/>
      <c r="C131" s="3"/>
      <c r="D131" s="3"/>
      <c r="E131" s="3"/>
      <c r="F131" s="3"/>
      <c r="G131" s="3"/>
      <c r="H131" s="3"/>
      <c r="I131" s="3"/>
      <c r="J131" s="3"/>
      <c r="K131" s="3"/>
      <c r="L131" s="3"/>
      <c r="M131" s="3"/>
      <c r="N131" s="3"/>
    </row>
    <row r="132">
      <c r="A132" s="1" t="inlineStr">
        <is>
          <t xml:space="preserve">M15-01</t>
        </is>
      </c>
      <c r="B132" s="1" t="inlineStr">
        <is>
          <t xml:space="preserve">M15 Weekly session</t>
        </is>
      </c>
      <c r="C132" s="1" t="inlineStr">
        <is>
          <t xml:space="preserve">The template session is listed</t>
        </is>
      </c>
      <c r="D132" s="1" t="inlineStr">
        <is>
          <t xml:space="preserve">Admin</t>
        </is>
      </c>
      <c r="E132" s="1" t="inlineStr">
        <is>
          <t xml:space="preserve">M02-02 done</t>
        </is>
      </c>
      <c r="F132" s="1" t="inlineStr">
        <is>
          <t xml:space="preserve">1. Open Sessions</t>
        </is>
      </c>
      <c r="G132" s="1" t="inlineStr">
        <is>
          <t xml:space="preserve">"Weekly session" under "Ahead" with chip "You facilitate" and action "Open"</t>
        </is>
      </c>
      <c r="H132" s="1" t="inlineStr">
        <is>
          <t xml:space="preserve">High</t>
        </is>
      </c>
      <c r="I132" s="1"/>
      <c r="J132" s="5" t="inlineStr">
        <is>
          <t xml:space="preserve">Not Run</t>
        </is>
      </c>
      <c r="K132" s="5"/>
      <c r="L132" s="5"/>
      <c r="M132" s="5"/>
      <c r="N132" s="5"/>
    </row>
    <row r="133">
      <c r="A133" s="1" t="inlineStr">
        <is>
          <t xml:space="preserve">M15-02</t>
        </is>
      </c>
      <c r="B133" s="1" t="inlineStr">
        <is>
          <t xml:space="preserve">M15 Weekly session</t>
        </is>
      </c>
      <c r="C133" s="1" t="inlineStr">
        <is>
          <t xml:space="preserve">Start the session</t>
        </is>
      </c>
      <c r="D133" s="1" t="inlineStr">
        <is>
          <t xml:space="preserve">Admin</t>
        </is>
      </c>
      <c r="E133" s="1" t="inlineStr">
        <is>
          <t xml:space="preserve">M15-01 done</t>
        </is>
      </c>
      <c r="F133" s="1" t="inlineStr">
        <is>
          <t xml:space="preserve">1. Open it and click "Start session"</t>
        </is>
      </c>
      <c r="G133" s="1" t="inlineStr">
        <is>
          <t xml:space="preserve">The steps rail shows "Confidence round", "Diagnose what is low", "Commitments", "Digest"</t>
        </is>
      </c>
      <c r="H133" s="1" t="inlineStr">
        <is>
          <t xml:space="preserve">High</t>
        </is>
      </c>
      <c r="I133" s="1"/>
      <c r="J133" s="5" t="inlineStr">
        <is>
          <t xml:space="preserve">Not Run</t>
        </is>
      </c>
      <c r="K133" s="5"/>
      <c r="L133" s="5"/>
      <c r="M133" s="5"/>
      <c r="N133" s="5"/>
    </row>
    <row r="134">
      <c r="A134" s="1" t="inlineStr">
        <is>
          <t xml:space="preserve">M15-03</t>
        </is>
      </c>
      <c r="B134" s="1" t="inlineStr">
        <is>
          <t xml:space="preserve">M15 Weekly session</t>
        </is>
      </c>
      <c r="C134" s="1" t="inlineStr">
        <is>
          <t xml:space="preserve">Confidence round: vote, reveal, confirm</t>
        </is>
      </c>
      <c r="D134" s="1" t="inlineStr">
        <is>
          <t xml:space="preserve">Admin, Priya, Sara</t>
        </is>
      </c>
      <c r="E134" s="1" t="inlineStr">
        <is>
          <t xml:space="preserve">Session running</t>
        </is>
      </c>
      <c r="F134" s="1" t="inlineStr">
        <is>
          <t xml:space="preserve">1. Priya and Sara open the session and click "Cast vote"
2. Admin clicks "Continue to next step" before confirming
3. Admin clicks "Reveal votes", writes "What changed this week", clicks "Confirm confidence"</t>
        </is>
      </c>
      <c r="G134" s="1" t="inlineStr">
        <is>
          <t xml:space="preserve">Voters see "Vote cast. Waiting for reveal." Early continue: "Cannot advance: &lt;KR&gt; has no confirmed confidence." After confirming, continue works</t>
        </is>
      </c>
      <c r="H134" s="1" t="inlineStr">
        <is>
          <t xml:space="preserve">High</t>
        </is>
      </c>
      <c r="I134" s="1" t="inlineStr">
        <is>
          <t xml:space="preserve">Space members join the session. Add Priya and Sara to the session's space first</t>
        </is>
      </c>
      <c r="J134" s="5" t="inlineStr">
        <is>
          <t xml:space="preserve">Not Run</t>
        </is>
      </c>
      <c r="K134" s="5"/>
      <c r="L134" s="5"/>
      <c r="M134" s="5"/>
      <c r="N134" s="5"/>
    </row>
    <row r="135">
      <c r="A135" s="1" t="inlineStr">
        <is>
          <t xml:space="preserve">M15-04</t>
        </is>
      </c>
      <c r="B135" s="1" t="inlineStr">
        <is>
          <t xml:space="preserve">M15 Weekly session</t>
        </is>
      </c>
      <c r="C135" s="1" t="inlineStr">
        <is>
          <t xml:space="preserve">A low key result needs a blocker</t>
        </is>
      </c>
      <c r="D135" s="1" t="inlineStr">
        <is>
          <t xml:space="preserve">Admin</t>
        </is>
      </c>
      <c r="E135" s="1" t="inlineStr">
        <is>
          <t xml:space="preserve">One key result confirmed below 0.4</t>
        </is>
      </c>
      <c r="F135" s="1" t="inlineStr">
        <is>
          <t xml:space="preserve">1. On "Diagnose what is low" click "Continue to next step"
2. Click "Raise a blocker" with empty fields
3. Fill key result, kind Dependency, owner Mei, next action, and raise it</t>
        </is>
      </c>
      <c r="G135" s="1" t="inlineStr">
        <is>
          <t xml:space="preserve">Continue: "Cannot advance: &lt;KR&gt; scored below 0.4 and has no blocker." Empty form shows field errors. The blocker shows "&lt;h&gt;h open"</t>
        </is>
      </c>
      <c r="H135" s="1" t="inlineStr">
        <is>
          <t xml:space="preserve">High</t>
        </is>
      </c>
      <c r="I135" s="1"/>
      <c r="J135" s="5" t="inlineStr">
        <is>
          <t xml:space="preserve">Not Run</t>
        </is>
      </c>
      <c r="K135" s="5"/>
      <c r="L135" s="5"/>
      <c r="M135" s="5"/>
      <c r="N135" s="5"/>
    </row>
    <row r="136">
      <c r="A136" s="1" t="inlineStr">
        <is>
          <t xml:space="preserve">M15-05</t>
        </is>
      </c>
      <c r="B136" s="1" t="inlineStr">
        <is>
          <t xml:space="preserve">M15 Weekly session</t>
        </is>
      </c>
      <c r="C136" s="1" t="inlineStr">
        <is>
          <t xml:space="preserve">Resolve and reassign a blocker</t>
        </is>
      </c>
      <c r="D136" s="1" t="inlineStr">
        <is>
          <t xml:space="preserve">Admin</t>
        </is>
      </c>
      <c r="E136" s="1" t="inlineStr">
        <is>
          <t xml:space="preserve">M15-04 done</t>
        </is>
      </c>
      <c r="F136" s="1" t="inlineStr">
        <is>
          <t xml:space="preserve">1. Use "Move it to" and "Reassign" to Sara
2. Click "Resolve"
3. Open the space page</t>
        </is>
      </c>
      <c r="G136" s="1" t="inlineStr">
        <is>
          <t xml:space="preserve">Owner changes, then the chip says "resolved". Open blockers also appear on the space page while open</t>
        </is>
      </c>
      <c r="H136" s="1" t="inlineStr">
        <is>
          <t xml:space="preserve">Medium</t>
        </is>
      </c>
      <c r="I136" s="1"/>
      <c r="J136" s="5" t="inlineStr">
        <is>
          <t xml:space="preserve">Not Run</t>
        </is>
      </c>
      <c r="K136" s="5"/>
      <c r="L136" s="5"/>
      <c r="M136" s="5"/>
      <c r="N136" s="5"/>
    </row>
    <row r="137">
      <c r="A137" s="1" t="inlineStr">
        <is>
          <t xml:space="preserve">M15-06</t>
        </is>
      </c>
      <c r="B137" s="1" t="inlineStr">
        <is>
          <t xml:space="preserve">M15 Weekly session</t>
        </is>
      </c>
      <c r="C137" s="1" t="inlineStr">
        <is>
          <t xml:space="preserve">At least two commitments</t>
        </is>
      </c>
      <c r="D137" s="1" t="inlineStr">
        <is>
          <t xml:space="preserve">Admin</t>
        </is>
      </c>
      <c r="E137" s="1" t="inlineStr">
        <is>
          <t xml:space="preserve">On step Commitments</t>
        </is>
      </c>
      <c r="F137" s="1" t="inlineStr">
        <is>
          <t xml:space="preserve">1. Set one commitment and continue
2. Add a second with "Add one more" and click "Set this week's commitments"</t>
        </is>
      </c>
      <c r="G137" s="1" t="inlineStr">
        <is>
          <t xml:space="preserve">One: "Cannot advance: at least 2 commitments are required, but only 1 were set." Two: accepted</t>
        </is>
      </c>
      <c r="H137" s="1" t="inlineStr">
        <is>
          <t xml:space="preserve">High</t>
        </is>
      </c>
      <c r="I137" s="1"/>
      <c r="J137" s="5" t="inlineStr">
        <is>
          <t xml:space="preserve">Not Run</t>
        </is>
      </c>
      <c r="K137" s="5"/>
      <c r="L137" s="5"/>
      <c r="M137" s="5"/>
      <c r="N137" s="5"/>
    </row>
    <row r="138">
      <c r="A138" s="1" t="inlineStr">
        <is>
          <t xml:space="preserve">M15-07</t>
        </is>
      </c>
      <c r="B138" s="1" t="inlineStr">
        <is>
          <t xml:space="preserve">M15 Weekly session</t>
        </is>
      </c>
      <c r="C138" s="1" t="inlineStr">
        <is>
          <t xml:space="preserve">Digest and close</t>
        </is>
      </c>
      <c r="D138" s="1" t="inlineStr">
        <is>
          <t xml:space="preserve">Admin</t>
        </is>
      </c>
      <c r="E138" s="1" t="inlineStr">
        <is>
          <t xml:space="preserve">M15-06 done</t>
        </is>
      </c>
      <c r="F138" s="1" t="inlineStr">
        <is>
          <t xml:space="preserve">1. Continue to "Digest"
2. Click "Close session"
3. Open Sessions, "Show finished"</t>
        </is>
      </c>
      <c r="G138" s="1" t="inlineStr">
        <is>
          <t xml:space="preserve">The session is under "Finished"</t>
        </is>
      </c>
      <c r="H138" s="1" t="inlineStr">
        <is>
          <t xml:space="preserve">High</t>
        </is>
      </c>
      <c r="I138" s="1"/>
      <c r="J138" s="5" t="inlineStr">
        <is>
          <t xml:space="preserve">Not Run</t>
        </is>
      </c>
      <c r="K138" s="5"/>
      <c r="L138" s="5"/>
      <c r="M138" s="5"/>
      <c r="N138" s="5"/>
    </row>
    <row r="139">
      <c r="A139" s="3" t="inlineStr">
        <is>
          <t xml:space="preserve">M16 Agents and nudges: Check the two agents nudge, propose and stay quiet when they should. Needs M14 first. About 30 min. Full workflow on the Module Guide sheet.</t>
        </is>
      </c>
      <c r="B139" s="3"/>
      <c r="C139" s="3"/>
      <c r="D139" s="3"/>
      <c r="E139" s="3"/>
      <c r="F139" s="3"/>
      <c r="G139" s="3"/>
      <c r="H139" s="3"/>
      <c r="I139" s="3"/>
      <c r="J139" s="3"/>
      <c r="K139" s="3"/>
      <c r="L139" s="3"/>
      <c r="M139" s="3"/>
      <c r="N139" s="3"/>
    </row>
    <row r="140">
      <c r="A140" s="1" t="inlineStr">
        <is>
          <t xml:space="preserve">M16-01</t>
        </is>
      </c>
      <c r="B140" s="1" t="inlineStr">
        <is>
          <t xml:space="preserve">M16 Agents and nudges</t>
        </is>
      </c>
      <c r="C140" s="1" t="inlineStr">
        <is>
          <t xml:space="preserve">Both agents are present with safe defaults</t>
        </is>
      </c>
      <c r="D140" s="1" t="inlineStr">
        <is>
          <t xml:space="preserve">Admin</t>
        </is>
      </c>
      <c r="E140" s="1" t="inlineStr">
        <is>
          <t xml:space="preserve">None</t>
        </is>
      </c>
      <c r="F140" s="1" t="inlineStr">
        <is>
          <t xml:space="preserve">1. Open Admin, Agents and runs</t>
        </is>
      </c>
      <c r="G140" s="1" t="inlineStr">
        <is>
          <t xml:space="preserve">OKR Champion "On the hour", propose. OKR Coach "On every write", propose. Both "On". Chip "Deterministic only" with AI off</t>
        </is>
      </c>
      <c r="H140" s="1" t="inlineStr">
        <is>
          <t xml:space="preserve">High</t>
        </is>
      </c>
      <c r="I140" s="1"/>
      <c r="J140" s="5" t="inlineStr">
        <is>
          <t xml:space="preserve">Not Run</t>
        </is>
      </c>
      <c r="K140" s="5"/>
      <c r="L140" s="5"/>
      <c r="M140" s="5"/>
      <c r="N140" s="5"/>
    </row>
    <row r="141">
      <c r="A141" s="1" t="inlineStr">
        <is>
          <t xml:space="preserve">M16-02</t>
        </is>
      </c>
      <c r="B141" s="1" t="inlineStr">
        <is>
          <t xml:space="preserve">M16 Agents and nudges</t>
        </is>
      </c>
      <c r="C141" s="1" t="inlineStr">
        <is>
          <t xml:space="preserve">Run an agent now</t>
        </is>
      </c>
      <c r="D141" s="1" t="inlineStr">
        <is>
          <t xml:space="preserve">Admin</t>
        </is>
      </c>
      <c r="E141" s="1" t="inlineStr">
        <is>
          <t xml:space="preserve">None</t>
        </is>
      </c>
      <c r="F141" s="1" t="inlineStr">
        <is>
          <t xml:space="preserve">1. In "Run one now" click "Nudge queue", then "Daily sweep", then "Quality pass"</t>
        </is>
      </c>
      <c r="G141" s="1" t="inlineStr">
        <is>
          <t xml:space="preserve">Each run appears under "Recent runs" as completed, with a log. A run with nothing to do says "Nothing was due."</t>
        </is>
      </c>
      <c r="H141" s="1" t="inlineStr">
        <is>
          <t xml:space="preserve">High</t>
        </is>
      </c>
      <c r="I141" s="1"/>
      <c r="J141" s="5" t="inlineStr">
        <is>
          <t xml:space="preserve">Not Run</t>
        </is>
      </c>
      <c r="K141" s="5"/>
      <c r="L141" s="5"/>
      <c r="M141" s="5"/>
      <c r="N141" s="5"/>
    </row>
    <row r="142">
      <c r="A142" s="1" t="inlineStr">
        <is>
          <t xml:space="preserve">M16-03</t>
        </is>
      </c>
      <c r="B142" s="1" t="inlineStr">
        <is>
          <t xml:space="preserve">M16 Agents and nudges</t>
        </is>
      </c>
      <c r="C142" s="1" t="inlineStr">
        <is>
          <t xml:space="preserve">Approve and dismiss proposals</t>
        </is>
      </c>
      <c r="D142" s="1" t="inlineStr">
        <is>
          <t xml:space="preserve">Admin</t>
        </is>
      </c>
      <c r="E142" s="1" t="inlineStr">
        <is>
          <t xml:space="preserve">"Proposals waiting" has items (run the Coach after M09)</t>
        </is>
      </c>
      <c r="F142" s="1" t="inlineStr">
        <is>
          <t xml:space="preserve">1. Tick one proposal, click "Apply 1"
2. Tick another, click "Dismiss"</t>
        </is>
      </c>
      <c r="G142" s="1" t="inlineStr">
        <is>
          <t xml:space="preserve">"Applied 1 of 1." and "Dismissed 1." The applied change is visible on the goal</t>
        </is>
      </c>
      <c r="H142" s="1" t="inlineStr">
        <is>
          <t xml:space="preserve">High</t>
        </is>
      </c>
      <c r="I142" s="1" t="inlineStr">
        <is>
          <t xml:space="preserve">Members see proposals on Review with a link to Admin, Agents, which they cannot open. Record what a member sees</t>
        </is>
      </c>
      <c r="J142" s="5" t="inlineStr">
        <is>
          <t xml:space="preserve">Not Run</t>
        </is>
      </c>
      <c r="K142" s="5"/>
      <c r="L142" s="5"/>
      <c r="M142" s="5"/>
      <c r="N142" s="5"/>
    </row>
    <row r="143">
      <c r="A143" s="1" t="inlineStr">
        <is>
          <t xml:space="preserve">M16-04</t>
        </is>
      </c>
      <c r="B143" s="1" t="inlineStr">
        <is>
          <t xml:space="preserve">M16 Agents and nudges</t>
        </is>
      </c>
      <c r="C143" s="1" t="inlineStr">
        <is>
          <t xml:space="preserve">Sandbox commits nothing</t>
        </is>
      </c>
      <c r="D143" s="1" t="inlineStr">
        <is>
          <t xml:space="preserve">Admin</t>
        </is>
      </c>
      <c r="E143" s="1" t="inlineStr">
        <is>
          <t xml:space="preserve">None</t>
        </is>
      </c>
      <c r="F143" s="1" t="inlineStr">
        <is>
          <t xml:space="preserve">1. Set the Coach "Write policy" to "Sandbox"
2. Run "Quality pass"
3. Set it back to "Propose"</t>
        </is>
      </c>
      <c r="G143" s="1" t="inlineStr">
        <is>
          <t xml:space="preserve">The run is logged. No proposal and no change is written</t>
        </is>
      </c>
      <c r="H143" s="1" t="inlineStr">
        <is>
          <t xml:space="preserve">Medium</t>
        </is>
      </c>
      <c r="I143" s="1"/>
      <c r="J143" s="5" t="inlineStr">
        <is>
          <t xml:space="preserve">Not Run</t>
        </is>
      </c>
      <c r="K143" s="5"/>
      <c r="L143" s="5"/>
      <c r="M143" s="5"/>
      <c r="N143" s="5"/>
    </row>
    <row r="144">
      <c r="A144" s="1" t="inlineStr">
        <is>
          <t xml:space="preserve">M16-05</t>
        </is>
      </c>
      <c r="B144" s="1" t="inlineStr">
        <is>
          <t xml:space="preserve">M16 Agents and nudges</t>
        </is>
      </c>
      <c r="C144" s="1" t="inlineStr">
        <is>
          <t xml:space="preserve">Direct writes ask for confirmation</t>
        </is>
      </c>
      <c r="D144" s="1" t="inlineStr">
        <is>
          <t xml:space="preserve">Admin</t>
        </is>
      </c>
      <c r="E144" s="1" t="inlineStr">
        <is>
          <t xml:space="preserve">None</t>
        </is>
      </c>
      <c r="F144" s="1" t="inlineStr">
        <is>
          <t xml:space="preserve">1. Click "Scoped direct" on the Champion
2. Cancel the dialog</t>
        </is>
      </c>
      <c r="G144" s="1" t="inlineStr">
        <is>
          <t xml:space="preserve">Dialog "Let OKR Champion write directly?". After cancel the policy is still propose</t>
        </is>
      </c>
      <c r="H144" s="1" t="inlineStr">
        <is>
          <t xml:space="preserve">Medium</t>
        </is>
      </c>
      <c r="I144" s="1"/>
      <c r="J144" s="5" t="inlineStr">
        <is>
          <t xml:space="preserve">Not Run</t>
        </is>
      </c>
      <c r="K144" s="5"/>
      <c r="L144" s="5"/>
      <c r="M144" s="5"/>
      <c r="N144" s="5"/>
    </row>
    <row r="145">
      <c r="A145" s="1" t="inlineStr">
        <is>
          <t xml:space="preserve">M16-06</t>
        </is>
      </c>
      <c r="B145" s="1" t="inlineStr">
        <is>
          <t xml:space="preserve">M16 Agents and nudges</t>
        </is>
      </c>
      <c r="C145" s="1" t="inlineStr">
        <is>
          <t xml:space="preserve">Turn an agent off and on</t>
        </is>
      </c>
      <c r="D145" s="1" t="inlineStr">
        <is>
          <t xml:space="preserve">Admin</t>
        </is>
      </c>
      <c r="E145" s="1" t="inlineStr">
        <is>
          <t xml:space="preserve">None</t>
        </is>
      </c>
      <c r="F145" s="1" t="inlineStr">
        <is>
          <t xml:space="preserve">1. Click "Turn off" on the Coach and confirm
2. Click "Turn on"</t>
        </is>
      </c>
      <c r="G145" s="1" t="inlineStr">
        <is>
          <t xml:space="preserve">The chip switches to "Off" and back to "On"</t>
        </is>
      </c>
      <c r="H145" s="1" t="inlineStr">
        <is>
          <t xml:space="preserve">Medium</t>
        </is>
      </c>
      <c r="I145" s="1"/>
      <c r="J145" s="5" t="inlineStr">
        <is>
          <t xml:space="preserve">Not Run</t>
        </is>
      </c>
      <c r="K145" s="5"/>
      <c r="L145" s="5"/>
      <c r="M145" s="5"/>
      <c r="N145" s="5"/>
    </row>
    <row r="146">
      <c r="A146" s="1" t="inlineStr">
        <is>
          <t xml:space="preserve">M16-07</t>
        </is>
      </c>
      <c r="B146" s="1" t="inlineStr">
        <is>
          <t xml:space="preserve">M16 Agents and nudges</t>
        </is>
      </c>
      <c r="C146" s="1" t="inlineStr">
        <is>
          <t xml:space="preserve">A nudge reaches the member</t>
        </is>
      </c>
      <c r="D146" s="1" t="inlineStr">
        <is>
          <t xml:space="preserve">Sara</t>
        </is>
      </c>
      <c r="E146" s="1" t="inlineStr">
        <is>
          <t xml:space="preserve">Sara owes a check-in</t>
        </is>
      </c>
      <c r="F146" s="1" t="inlineStr">
        <is>
          <t xml:space="preserve">1. Admin runs "Nudge queue"
2. Sara opens Inbox</t>
        </is>
      </c>
      <c r="G146" s="1" t="inlineStr">
        <is>
          <t xml:space="preserve">A reminder line "Reminder: &lt;rule&gt;" is in Sara's Inbox</t>
        </is>
      </c>
      <c r="H146" s="1" t="inlineStr">
        <is>
          <t xml:space="preserve">High</t>
        </is>
      </c>
      <c r="I146" s="1"/>
      <c r="J146" s="5" t="inlineStr">
        <is>
          <t xml:space="preserve">Not Run</t>
        </is>
      </c>
      <c r="K146" s="5"/>
      <c r="L146" s="5"/>
      <c r="M146" s="5"/>
      <c r="N146" s="5"/>
    </row>
    <row r="147">
      <c r="A147" s="1" t="inlineStr">
        <is>
          <t xml:space="preserve">M16-08</t>
        </is>
      </c>
      <c r="B147" s="1" t="inlineStr">
        <is>
          <t xml:space="preserve">M16 Agents and nudges</t>
        </is>
      </c>
      <c r="C147" s="1" t="inlineStr">
        <is>
          <t xml:space="preserve">One nudge per subject per day</t>
        </is>
      </c>
      <c r="D147" s="1" t="inlineStr">
        <is>
          <t xml:space="preserve">Admin</t>
        </is>
      </c>
      <c r="E147" s="1" t="inlineStr">
        <is>
          <t xml:space="preserve">M16-07 done</t>
        </is>
      </c>
      <c r="F147" s="1" t="inlineStr">
        <is>
          <t xml:space="preserve">1. Run "Nudge queue" again
2. Open Admin, Nudge volume</t>
        </is>
      </c>
      <c r="G147" s="1" t="inlineStr">
        <is>
          <t xml:space="preserve">Sara gets no second copy. "Why it stayed quiet" counts "Already said today"</t>
        </is>
      </c>
      <c r="H147" s="1" t="inlineStr">
        <is>
          <t xml:space="preserve">High</t>
        </is>
      </c>
      <c r="I147" s="1"/>
      <c r="J147" s="5" t="inlineStr">
        <is>
          <t xml:space="preserve">Not Run</t>
        </is>
      </c>
      <c r="K147" s="5"/>
      <c r="L147" s="5"/>
      <c r="M147" s="5"/>
      <c r="N147" s="5"/>
    </row>
    <row r="148">
      <c r="A148" s="1" t="inlineStr">
        <is>
          <t xml:space="preserve">M16-09</t>
        </is>
      </c>
      <c r="B148" s="1" t="inlineStr">
        <is>
          <t xml:space="preserve">M16 Agents and nudges</t>
        </is>
      </c>
      <c r="C148" s="1" t="inlineStr">
        <is>
          <t xml:space="preserve">Quiet hours hold nudges</t>
        </is>
      </c>
      <c r="D148" s="1" t="inlineStr">
        <is>
          <t xml:space="preserve">Sara, then Admin</t>
        </is>
      </c>
      <c r="E148" s="1" t="inlineStr">
        <is>
          <t xml:space="preserve">None</t>
        </is>
      </c>
      <c r="F148" s="1" t="inlineStr">
        <is>
          <t xml:space="preserve">1. Sara sets "Quiet hours" to cover the current time on Account, Where to reach you, and saves
2. Admin runs "Nudge queue"
3. Admin opens Nudge volume</t>
        </is>
      </c>
      <c r="G148" s="1" t="inlineStr">
        <is>
          <t xml:space="preserve">No new nudge for Sara. The reason "Quiet hours" is counted</t>
        </is>
      </c>
      <c r="H148" s="1" t="inlineStr">
        <is>
          <t xml:space="preserve">High</t>
        </is>
      </c>
      <c r="I148" s="1"/>
      <c r="J148" s="5" t="inlineStr">
        <is>
          <t xml:space="preserve">Not Run</t>
        </is>
      </c>
      <c r="K148" s="5"/>
      <c r="L148" s="5"/>
      <c r="M148" s="5"/>
      <c r="N148" s="5"/>
    </row>
    <row r="149">
      <c r="A149" s="1" t="inlineStr">
        <is>
          <t xml:space="preserve">M16-10</t>
        </is>
      </c>
      <c r="B149" s="1" t="inlineStr">
        <is>
          <t xml:space="preserve">M16 Agents and nudges</t>
        </is>
      </c>
      <c r="C149" s="1" t="inlineStr">
        <is>
          <t xml:space="preserve">Turn a nudge rule off</t>
        </is>
      </c>
      <c r="D149" s="1" t="inlineStr">
        <is>
          <t xml:space="preserve">Admin</t>
        </is>
      </c>
      <c r="E149" s="1" t="inlineStr">
        <is>
          <t xml:space="preserve">None</t>
        </is>
      </c>
      <c r="F149" s="1" t="inlineStr">
        <is>
          <t xml:space="preserve">1. Open Admin, Nudge volume, "Rules (n)"
2. Click "Turn off" on a rule
3. Run "Nudge queue"</t>
        </is>
      </c>
      <c r="G149" s="1" t="inlineStr">
        <is>
          <t xml:space="preserve">The rule shows as changed. Its nudges are held with "Rule switched off"</t>
        </is>
      </c>
      <c r="H149" s="1" t="inlineStr">
        <is>
          <t xml:space="preserve">Medium</t>
        </is>
      </c>
      <c r="I149" s="1"/>
      <c r="J149" s="5" t="inlineStr">
        <is>
          <t xml:space="preserve">Not Run</t>
        </is>
      </c>
      <c r="K149" s="5"/>
      <c r="L149" s="5"/>
      <c r="M149" s="5"/>
      <c r="N149" s="5"/>
    </row>
    <row r="150">
      <c r="A150" s="1" t="inlineStr">
        <is>
          <t xml:space="preserve">M16-11</t>
        </is>
      </c>
      <c r="B150" s="1" t="inlineStr">
        <is>
          <t xml:space="preserve">M16 Agents and nudges</t>
        </is>
      </c>
      <c r="C150" s="1" t="inlineStr">
        <is>
          <t xml:space="preserve">The Coach strip on a goal</t>
        </is>
      </c>
      <c r="D150" s="1" t="inlineStr">
        <is>
          <t xml:space="preserve">Sara</t>
        </is>
      </c>
      <c r="E150" s="1" t="inlineStr">
        <is>
          <t xml:space="preserve">M09 done</t>
        </is>
      </c>
      <c r="F150" s="1" t="inlineStr">
        <is>
          <t xml:space="preserve">1. Open Sara's goal</t>
        </is>
      </c>
      <c r="G150" s="1" t="inlineStr">
        <is>
          <t xml:space="preserve">"What the Coach sees" lists the rules the goal still breaks</t>
        </is>
      </c>
      <c r="H150" s="1" t="inlineStr">
        <is>
          <t xml:space="preserve">Medium</t>
        </is>
      </c>
      <c r="I150" s="1"/>
      <c r="J150" s="5" t="inlineStr">
        <is>
          <t xml:space="preserve">Not Run</t>
        </is>
      </c>
      <c r="K150" s="5"/>
      <c r="L150" s="5"/>
      <c r="M150" s="5"/>
      <c r="N150" s="5"/>
    </row>
    <row r="151">
      <c r="A151" s="3" t="inlineStr">
        <is>
          <t xml:space="preserve">M17 Work map, search and activity: Check the overview screens, search and basic usability. Needs M15 first. About 20 min. Full workflow on the Module Guide sheet.</t>
        </is>
      </c>
      <c r="B151" s="3"/>
      <c r="C151" s="3"/>
      <c r="D151" s="3"/>
      <c r="E151" s="3"/>
      <c r="F151" s="3"/>
      <c r="G151" s="3"/>
      <c r="H151" s="3"/>
      <c r="I151" s="3"/>
      <c r="J151" s="3"/>
      <c r="K151" s="3"/>
      <c r="L151" s="3"/>
      <c r="M151" s="3"/>
      <c r="N151" s="3"/>
    </row>
    <row r="152">
      <c r="A152" s="1" t="inlineStr">
        <is>
          <t xml:space="preserve">M17-01</t>
        </is>
      </c>
      <c r="B152" s="1" t="inlineStr">
        <is>
          <t xml:space="preserve">M17 Work map, search and activity</t>
        </is>
      </c>
      <c r="C152" s="1" t="inlineStr">
        <is>
          <t xml:space="preserve">Work map context strip and table</t>
        </is>
      </c>
      <c r="D152" s="1" t="inlineStr">
        <is>
          <t xml:space="preserve">Priya</t>
        </is>
      </c>
      <c r="E152" s="1" t="inlineStr">
        <is>
          <t xml:space="preserve">M11 done</t>
        </is>
      </c>
      <c r="F152" s="1" t="inlineStr">
        <is>
          <t xml:space="preserve">1. Open the work map
2. Switch the scope tabs Company and each space
3. Click a row, then "Open the goal"</t>
        </is>
      </c>
      <c r="G152" s="1" t="inlineStr">
        <is>
          <t xml:space="preserve">Strip shows "Phase n" and the gate status. Columns Goal, Health, Confidence, Progress, Next step, Champion. The row panel opens the goal</t>
        </is>
      </c>
      <c r="H152" s="1" t="inlineStr">
        <is>
          <t xml:space="preserve">High</t>
        </is>
      </c>
      <c r="I152" s="1"/>
      <c r="J152" s="5" t="inlineStr">
        <is>
          <t xml:space="preserve">Not Run</t>
        </is>
      </c>
      <c r="K152" s="5"/>
      <c r="L152" s="5"/>
      <c r="M152" s="5"/>
      <c r="N152" s="5"/>
    </row>
    <row r="153">
      <c r="A153" s="1" t="inlineStr">
        <is>
          <t xml:space="preserve">M17-02</t>
        </is>
      </c>
      <c r="B153" s="1" t="inlineStr">
        <is>
          <t xml:space="preserve">M17 Work map, search and activity</t>
        </is>
      </c>
      <c r="C153" s="1" t="inlineStr">
        <is>
          <t xml:space="preserve">Search finds only what you may open</t>
        </is>
      </c>
      <c r="D153" s="1" t="inlineStr">
        <is>
          <t xml:space="preserve">Jonas</t>
        </is>
      </c>
      <c r="E153" s="1" t="inlineStr">
        <is>
          <t xml:space="preserve">M10 done</t>
        </is>
      </c>
      <c r="F153" s="1" t="inlineStr">
        <is>
          <t xml:space="preserve">1. Open Search, type onboarding
2. Switch the type tabs
3. Type zzzz</t>
        </is>
      </c>
      <c r="G153" s="1" t="inlineStr">
        <is>
          <t xml:space="preserve">Results group by type. zzzz shows "Nothing matches". Sara's draft document never appears</t>
        </is>
      </c>
      <c r="H153" s="1" t="inlineStr">
        <is>
          <t xml:space="preserve">High</t>
        </is>
      </c>
      <c r="I153" s="1"/>
      <c r="J153" s="5" t="inlineStr">
        <is>
          <t xml:space="preserve">Not Run</t>
        </is>
      </c>
      <c r="K153" s="5"/>
      <c r="L153" s="5"/>
      <c r="M153" s="5"/>
      <c r="N153" s="5"/>
    </row>
    <row r="154">
      <c r="A154" s="1" t="inlineStr">
        <is>
          <t xml:space="preserve">M17-03</t>
        </is>
      </c>
      <c r="B154" s="1" t="inlineStr">
        <is>
          <t xml:space="preserve">M17 Work map, search and activity</t>
        </is>
      </c>
      <c r="C154" s="1" t="inlineStr">
        <is>
          <t xml:space="preserve">Activity feed</t>
        </is>
      </c>
      <c r="D154" s="1" t="inlineStr">
        <is>
          <t xml:space="preserve">Admin</t>
        </is>
      </c>
      <c r="E154" s="1" t="inlineStr">
        <is>
          <t xml:space="preserve">Work done in earlier modules</t>
        </is>
      </c>
      <c r="F154" s="1" t="inlineStr">
        <is>
          <t xml:space="preserve">1. Open Activity
2. Click "Older" then "Back to the newest"</t>
        </is>
      </c>
      <c r="G154" s="1" t="inlineStr">
        <is>
          <t xml:space="preserve">Check-ins, goals, sessions and setting changes are listed newest first</t>
        </is>
      </c>
      <c r="H154" s="1" t="inlineStr">
        <is>
          <t xml:space="preserve">Medium</t>
        </is>
      </c>
      <c r="I154" s="1"/>
      <c r="J154" s="5" t="inlineStr">
        <is>
          <t xml:space="preserve">Not Run</t>
        </is>
      </c>
      <c r="K154" s="5"/>
      <c r="L154" s="5"/>
      <c r="M154" s="5"/>
      <c r="N154" s="5"/>
    </row>
    <row r="155">
      <c r="A155" s="1" t="inlineStr">
        <is>
          <t xml:space="preserve">M17-04</t>
        </is>
      </c>
      <c r="B155" s="1" t="inlineStr">
        <is>
          <t xml:space="preserve">M17 Work map, search and activity</t>
        </is>
      </c>
      <c r="C155" s="1" t="inlineStr">
        <is>
          <t xml:space="preserve">Copilot with AI off</t>
        </is>
      </c>
      <c r="D155" s="1" t="inlineStr">
        <is>
          <t xml:space="preserve">Sara</t>
        </is>
      </c>
      <c r="E155" s="1" t="inlineStr">
        <is>
          <t xml:space="preserve">No AI provider</t>
        </is>
      </c>
      <c r="F155" s="1" t="inlineStr">
        <is>
          <t xml:space="preserve">1. Click "Ask the copilot" (or Ctrl+J)
2. Ask: which key results are at risk</t>
        </is>
      </c>
      <c r="G155" s="1" t="inlineStr">
        <is>
          <t xml:space="preserve">Chip "AI off". Only "Passages that match" is shown. No error</t>
        </is>
      </c>
      <c r="H155" s="1" t="inlineStr">
        <is>
          <t xml:space="preserve">Medium</t>
        </is>
      </c>
      <c r="I155" s="1"/>
      <c r="J155" s="5" t="inlineStr">
        <is>
          <t xml:space="preserve">Not Run</t>
        </is>
      </c>
      <c r="K155" s="5"/>
      <c r="L155" s="5"/>
      <c r="M155" s="5"/>
      <c r="N155" s="5"/>
    </row>
    <row r="156">
      <c r="A156" s="1" t="inlineStr">
        <is>
          <t xml:space="preserve">M17-05</t>
        </is>
      </c>
      <c r="B156" s="1" t="inlineStr">
        <is>
          <t xml:space="preserve">M17 Work map, search and activity</t>
        </is>
      </c>
      <c r="C156" s="1" t="inlineStr">
        <is>
          <t xml:space="preserve">Keyboard-only check-in</t>
        </is>
      </c>
      <c r="D156" s="1" t="inlineStr">
        <is>
          <t xml:space="preserve">Sara</t>
        </is>
      </c>
      <c r="E156" s="1" t="inlineStr">
        <is>
          <t xml:space="preserve">A goal is due</t>
        </is>
      </c>
      <c r="F156" s="1" t="inlineStr">
        <is>
          <t xml:space="preserve">1. Using only Tab, Shift+Tab, Enter and arrows, post a check-in</t>
        </is>
      </c>
      <c r="G156" s="1" t="inlineStr">
        <is>
          <t xml:space="preserve">Every control is reachable and the focus is visible</t>
        </is>
      </c>
      <c r="H156" s="1" t="inlineStr">
        <is>
          <t xml:space="preserve">Medium</t>
        </is>
      </c>
      <c r="I156" s="1"/>
      <c r="J156" s="5" t="inlineStr">
        <is>
          <t xml:space="preserve">Not Run</t>
        </is>
      </c>
      <c r="K156" s="5"/>
      <c r="L156" s="5"/>
      <c r="M156" s="5"/>
      <c r="N156" s="5"/>
    </row>
    <row r="157">
      <c r="A157" s="1" t="inlineStr">
        <is>
          <t xml:space="preserve">M17-06</t>
        </is>
      </c>
      <c r="B157" s="1" t="inlineStr">
        <is>
          <t xml:space="preserve">M17 Work map, search and activity</t>
        </is>
      </c>
      <c r="C157" s="1" t="inlineStr">
        <is>
          <t xml:space="preserve">Phone-width layout</t>
        </is>
      </c>
      <c r="D157" s="1" t="inlineStr">
        <is>
          <t xml:space="preserve">Sara</t>
        </is>
      </c>
      <c r="E157" s="1" t="inlineStr">
        <is>
          <t xml:space="preserve">None</t>
        </is>
      </c>
      <c r="F157" s="1" t="inlineStr">
        <is>
          <t xml:space="preserve">1. Open the work map, Check in and Board on a phone or a 375px-wide window</t>
        </is>
      </c>
      <c r="G157" s="1" t="inlineStr">
        <is>
          <t xml:space="preserve">No sideways page scroll. Every button can be tapped</t>
        </is>
      </c>
      <c r="H157" s="1" t="inlineStr">
        <is>
          <t xml:space="preserve">Medium</t>
        </is>
      </c>
      <c r="I157" s="1"/>
      <c r="J157" s="5" t="inlineStr">
        <is>
          <t xml:space="preserve">Not Run</t>
        </is>
      </c>
      <c r="K157" s="5"/>
      <c r="L157" s="5"/>
      <c r="M157" s="5"/>
      <c r="N157" s="5"/>
    </row>
    <row r="158">
      <c r="A158" s="3" t="inlineStr">
        <is>
          <t xml:space="preserve">M18 Closing the cycle and scorecard: Close goals and the quarter, and record the result. Needs M15 first. About 25 min. Full workflow on the Module Guide sheet.</t>
        </is>
      </c>
      <c r="B158" s="3"/>
      <c r="C158" s="3"/>
      <c r="D158" s="3"/>
      <c r="E158" s="3"/>
      <c r="F158" s="3"/>
      <c r="G158" s="3"/>
      <c r="H158" s="3"/>
      <c r="I158" s="3"/>
      <c r="J158" s="3"/>
      <c r="K158" s="3"/>
      <c r="L158" s="3"/>
      <c r="M158" s="3"/>
      <c r="N158" s="3"/>
    </row>
    <row r="159">
      <c r="A159" s="1" t="inlineStr">
        <is>
          <t xml:space="preserve">M18-01</t>
        </is>
      </c>
      <c r="B159" s="1" t="inlineStr">
        <is>
          <t xml:space="preserve">M18 Closing the cycle and scorecard</t>
        </is>
      </c>
      <c r="C159" s="1" t="inlineStr">
        <is>
          <t xml:space="preserve">Closing a goal needs a retrospective</t>
        </is>
      </c>
      <c r="D159" s="1" t="inlineStr">
        <is>
          <t xml:space="preserve">Sara</t>
        </is>
      </c>
      <c r="E159" s="1" t="inlineStr">
        <is>
          <t xml:space="preserve">A published goal</t>
        </is>
      </c>
      <c r="F159" s="1" t="inlineStr">
        <is>
          <t xml:space="preserve">1. Open the goal, pick "Achieved" and "Keep"
2. Leave the retrospective empty and click "Close this goal"</t>
        </is>
      </c>
      <c r="G159" s="1" t="inlineStr">
        <is>
          <t xml:space="preserve">"Closing a goal needs a retrospective. What happened, and what would you do differently?"</t>
        </is>
      </c>
      <c r="H159" s="1" t="inlineStr">
        <is>
          <t xml:space="preserve">High</t>
        </is>
      </c>
      <c r="I159" s="1"/>
      <c r="J159" s="5" t="inlineStr">
        <is>
          <t xml:space="preserve">Not Run</t>
        </is>
      </c>
      <c r="K159" s="5"/>
      <c r="L159" s="5"/>
      <c r="M159" s="5"/>
      <c r="N159" s="5"/>
    </row>
    <row r="160">
      <c r="A160" s="1" t="inlineStr">
        <is>
          <t xml:space="preserve">M18-02</t>
        </is>
      </c>
      <c r="B160" s="1" t="inlineStr">
        <is>
          <t xml:space="preserve">M18 Closing the cycle and scorecard</t>
        </is>
      </c>
      <c r="C160" s="1" t="inlineStr">
        <is>
          <t xml:space="preserve">Close and reopen a goal</t>
        </is>
      </c>
      <c r="D160" s="1" t="inlineStr">
        <is>
          <t xml:space="preserve">Sara</t>
        </is>
      </c>
      <c r="E160" s="1" t="inlineStr">
        <is>
          <t xml:space="preserve">M18-01 done</t>
        </is>
      </c>
      <c r="F160" s="1" t="inlineStr">
        <is>
          <t xml:space="preserve">1. Write the retrospective and close
2. Click "Reopen this goal"</t>
        </is>
      </c>
      <c r="G160" s="1" t="inlineStr">
        <is>
          <t xml:space="preserve">Header shows "closed · achieved" and "No check-in is due. A closed goal never is." Reopen returns it to open</t>
        </is>
      </c>
      <c r="H160" s="1" t="inlineStr">
        <is>
          <t xml:space="preserve">High</t>
        </is>
      </c>
      <c r="I160" s="1"/>
      <c r="J160" s="5" t="inlineStr">
        <is>
          <t xml:space="preserve">Not Run</t>
        </is>
      </c>
      <c r="K160" s="5"/>
      <c r="L160" s="5"/>
      <c r="M160" s="5"/>
      <c r="N160" s="5"/>
    </row>
    <row r="161">
      <c r="A161" s="1" t="inlineStr">
        <is>
          <t xml:space="preserve">M18-03</t>
        </is>
      </c>
      <c r="B161" s="1" t="inlineStr">
        <is>
          <t xml:space="preserve">M18 Closing the cycle and scorecard</t>
        </is>
      </c>
      <c r="C161" s="1" t="inlineStr">
        <is>
          <t xml:space="preserve">Phase 7 Review and learn, and close the cycle</t>
        </is>
      </c>
      <c r="D161" s="1" t="inlineStr">
        <is>
          <t xml:space="preserve">Admin</t>
        </is>
      </c>
      <c r="E161" s="1" t="inlineStr">
        <is>
          <t xml:space="preserve">A quarterly review of the current cycle is running</t>
        </is>
      </c>
      <c r="F161" s="1" t="inlineStr">
        <is>
          <t xml:space="preserve">1. Open Cycle, phase 7, before any key result is scored
2. Score every key result and write the team retro in the quarterly review, then close the review
3. Back on phase 7, click "Close &lt;cycle name&gt;"</t>
        </is>
      </c>
      <c r="G161" s="1" t="inlineStr">
        <is>
          <t xml:space="preserve">Before scoring, "Close the cycle" is disabled and lists what phase 7 still needs. After scoring, the portfolio average and bands show and phase 7 shows done. After closing, the chip reads "closed" and "How this cycle closed" shows the result and verdict, and says the next cycle receives the inheritance when it is created</t>
        </is>
      </c>
      <c r="H161" s="1" t="inlineStr">
        <is>
          <t xml:space="preserve">High</t>
        </is>
      </c>
      <c r="I161" s="1"/>
      <c r="J161" s="5" t="inlineStr">
        <is>
          <t xml:space="preserve">Not Run</t>
        </is>
      </c>
      <c r="K161" s="5"/>
      <c r="L161" s="5"/>
      <c r="M161" s="5"/>
      <c r="N161" s="5"/>
    </row>
    <row r="162">
      <c r="A162" s="1" t="inlineStr">
        <is>
          <t xml:space="preserve">M18-04</t>
        </is>
      </c>
      <c r="B162" s="1" t="inlineStr">
        <is>
          <t xml:space="preserve">M18 Closing the cycle and scorecard</t>
        </is>
      </c>
      <c r="C162" s="1" t="inlineStr">
        <is>
          <t xml:space="preserve">The closed cycle on the scorecard and in the next quarter</t>
        </is>
      </c>
      <c r="D162" s="1" t="inlineStr">
        <is>
          <t xml:space="preserve">Admin</t>
        </is>
      </c>
      <c r="E162" s="1" t="inlineStr">
        <is>
          <t xml:space="preserve">M18-03 done</t>
        </is>
      </c>
      <c r="F162" s="1" t="inlineStr">
        <is>
          <t xml:space="preserve">1. Open Scorecard
2. Check "Close a cycle out" no longer offers the closed cycle
3. On the Cycles card create the cycle containing a date in the next quarter
4. Open the new quarter's phase 2 and phase 3
5. Click "Export as CSV" on the scorecard</t>
        </is>
      </c>
      <c r="G162" s="1" t="inlineStr">
        <is>
          <t xml:space="preserve">The closed cycle's row shows result and verdict. Phase 2 lists every prior score and each carried item at impact 4. Phase 3 lists the lowest process-health statement as a priority, not as an issue. The CSV downloads and opens</t>
        </is>
      </c>
      <c r="H162" s="1" t="inlineStr">
        <is>
          <t xml:space="preserve">Medium</t>
        </is>
      </c>
      <c r="I162" s="1"/>
      <c r="J162" s="5" t="inlineStr">
        <is>
          <t xml:space="preserve">Not Run</t>
        </is>
      </c>
      <c r="K162" s="5"/>
      <c r="L162" s="5"/>
      <c r="M162" s="5"/>
      <c r="N162" s="5"/>
    </row>
    <row r="163">
      <c r="A163" s="1" t="inlineStr">
        <is>
          <t xml:space="preserve">M18-05</t>
        </is>
      </c>
      <c r="B163" s="1" t="inlineStr">
        <is>
          <t xml:space="preserve">M18 Closing the cycle and scorecard</t>
        </is>
      </c>
      <c r="C163" s="1" t="inlineStr">
        <is>
          <t xml:space="preserve">Archive the old cycle</t>
        </is>
      </c>
      <c r="D163" s="1" t="inlineStr">
        <is>
          <t xml:space="preserve">Admin</t>
        </is>
      </c>
      <c r="E163" s="1" t="inlineStr">
        <is>
          <t xml:space="preserve">M18-04 done</t>
        </is>
      </c>
      <c r="F163" s="1" t="inlineStr">
        <is>
          <t xml:space="preserve">1. On the Cycles card click "Archive &lt;name&gt;"</t>
        </is>
      </c>
      <c r="G163" s="1" t="inlineStr">
        <is>
          <t xml:space="preserve">The cycle is archived and the next one becomes current</t>
        </is>
      </c>
      <c r="H163" s="1" t="inlineStr">
        <is>
          <t xml:space="preserve">Medium</t>
        </is>
      </c>
      <c r="I163" s="1"/>
      <c r="J163" s="5" t="inlineStr">
        <is>
          <t xml:space="preserve">Not Run</t>
        </is>
      </c>
      <c r="K163" s="5"/>
      <c r="L163" s="5"/>
      <c r="M163" s="5"/>
      <c r="N163" s="5"/>
    </row>
    <row r="164">
      <c r="A164" s="1" t="inlineStr">
        <is>
          <t xml:space="preserve">M18-06</t>
        </is>
      </c>
      <c r="B164" s="1" t="inlineStr">
        <is>
          <t xml:space="preserve">M18 Closing the cycle and scorecard</t>
        </is>
      </c>
      <c r="C164" s="1" t="inlineStr">
        <is>
          <t xml:space="preserve">Run a quarterly review session</t>
        </is>
      </c>
      <c r="D164" s="1" t="inlineStr">
        <is>
          <t xml:space="preserve">Admin</t>
        </is>
      </c>
      <c r="E164" s="1" t="inlineStr">
        <is>
          <t xml:space="preserve">End of cycle</t>
        </is>
      </c>
      <c r="F164" s="1" t="inlineStr">
        <is>
          <t xml:space="preserve">1. Look on Sessions and on the space page for a way to schedule a quarterly review</t>
        </is>
      </c>
      <c r="G164" s="1" t="inlineStr">
        <is>
          <t xml:space="preserve">A quarterly review with 11 stages can be scheduled and run, then "The minutes" can be downloaded as Markdown and PDF</t>
        </is>
      </c>
      <c r="H164" s="1" t="inlineStr">
        <is>
          <t xml:space="preserve">Medium</t>
        </is>
      </c>
      <c r="I164" s="1" t="inlineStr">
        <is>
          <t xml:space="preserve">Code review found no UI to create a session. If there is none, mark Blocked and log it</t>
        </is>
      </c>
      <c r="J164" s="5" t="inlineStr">
        <is>
          <t xml:space="preserve">Not Run</t>
        </is>
      </c>
      <c r="K164" s="5"/>
      <c r="L164" s="5"/>
      <c r="M164" s="5"/>
      <c r="N164" s="5"/>
    </row>
    <row r="165">
      <c r="A165" s="3" t="inlineStr">
        <is>
          <t xml:space="preserve">M19 Access and permissions: Check nobody sees or does more than their access allows. Needs M11 first. About 15 min. Full workflow on the Module Guide sheet.</t>
        </is>
      </c>
      <c r="B165" s="3"/>
      <c r="C165" s="3"/>
      <c r="D165" s="3"/>
      <c r="E165" s="3"/>
      <c r="F165" s="3"/>
      <c r="G165" s="3"/>
      <c r="H165" s="3"/>
      <c r="I165" s="3"/>
      <c r="J165" s="3"/>
      <c r="K165" s="3"/>
      <c r="L165" s="3"/>
      <c r="M165" s="3"/>
      <c r="N165" s="3"/>
    </row>
    <row r="166">
      <c r="A166" s="1" t="inlineStr">
        <is>
          <t xml:space="preserve">M19-01</t>
        </is>
      </c>
      <c r="B166" s="1" t="inlineStr">
        <is>
          <t xml:space="preserve">M19 Access and permissions</t>
        </is>
      </c>
      <c r="C166" s="1" t="inlineStr">
        <is>
          <t xml:space="preserve">A member cannot open admin screens</t>
        </is>
      </c>
      <c r="D166" s="1" t="inlineStr">
        <is>
          <t xml:space="preserve">Jonas</t>
        </is>
      </c>
      <c r="E166" s="1" t="inlineStr">
        <is>
          <t xml:space="preserve">None</t>
        </is>
      </c>
      <c r="F166" s="1" t="inlineStr">
        <is>
          <t xml:space="preserve">1. Open /admin/general
2. Open /admin/agents</t>
        </is>
      </c>
      <c r="G166" s="1" t="inlineStr">
        <is>
          <t xml:space="preserve">Both return a Not Found page. No admin data is shown</t>
        </is>
      </c>
      <c r="H166" s="1" t="inlineStr">
        <is>
          <t xml:space="preserve">High</t>
        </is>
      </c>
      <c r="I166" s="1" t="inlineStr">
        <is>
          <t xml:space="preserve">The product answers 404 on purpose, so the page's existence is not revealed</t>
        </is>
      </c>
      <c r="J166" s="5" t="inlineStr">
        <is>
          <t xml:space="preserve">Not Run</t>
        </is>
      </c>
      <c r="K166" s="5"/>
      <c r="L166" s="5"/>
      <c r="M166" s="5"/>
      <c r="N166" s="5"/>
    </row>
    <row r="167">
      <c r="A167" s="1" t="inlineStr">
        <is>
          <t xml:space="preserve">M19-02</t>
        </is>
      </c>
      <c r="B167" s="1" t="inlineStr">
        <is>
          <t xml:space="preserve">M19 Access and permissions</t>
        </is>
      </c>
      <c r="C167" s="1" t="inlineStr">
        <is>
          <t xml:space="preserve">Signed-out visitors are sent to sign-in</t>
        </is>
      </c>
      <c r="D167" s="1" t="inlineStr">
        <is>
          <t xml:space="preserve">Nobody (signed out)</t>
        </is>
      </c>
      <c r="E167" s="1" t="inlineStr">
        <is>
          <t xml:space="preserve">None</t>
        </is>
      </c>
      <c r="F167" s="1" t="inlineStr">
        <is>
          <t xml:space="preserve">1. Open /goals and /kpis</t>
        </is>
      </c>
      <c r="G167" s="1" t="inlineStr">
        <is>
          <t xml:space="preserve">Redirected to /sign-in</t>
        </is>
      </c>
      <c r="H167" s="1" t="inlineStr">
        <is>
          <t xml:space="preserve">High</t>
        </is>
      </c>
      <c r="I167" s="1"/>
      <c r="J167" s="5" t="inlineStr">
        <is>
          <t xml:space="preserve">Not Run</t>
        </is>
      </c>
      <c r="K167" s="5"/>
      <c r="L167" s="5"/>
      <c r="M167" s="5"/>
      <c r="N167" s="5"/>
    </row>
    <row r="168">
      <c r="A168" s="1" t="inlineStr">
        <is>
          <t xml:space="preserve">M19-03</t>
        </is>
      </c>
      <c r="B168" s="1" t="inlineStr">
        <is>
          <t xml:space="preserve">M19 Access and permissions</t>
        </is>
      </c>
      <c r="C168" s="1" t="inlineStr">
        <is>
          <t xml:space="preserve">A goal you cannot see reads as not found</t>
        </is>
      </c>
      <c r="D168" s="1" t="inlineStr">
        <is>
          <t xml:space="preserve">Jonas</t>
        </is>
      </c>
      <c r="E168" s="1" t="inlineStr">
        <is>
          <t xml:space="preserve">The URL of a goal Jonas has no access to, or a made-up id</t>
        </is>
      </c>
      <c r="F168" s="1" t="inlineStr">
        <is>
          <t xml:space="preserve">1. Open /goals/&lt;id&gt;</t>
        </is>
      </c>
      <c r="G168" s="1" t="inlineStr">
        <is>
          <t xml:space="preserve">"We could not find that, or it is not yours to see."</t>
        </is>
      </c>
      <c r="H168" s="1" t="inlineStr">
        <is>
          <t xml:space="preserve">High</t>
        </is>
      </c>
      <c r="I168" s="1"/>
      <c r="J168" s="5" t="inlineStr">
        <is>
          <t xml:space="preserve">Not Run</t>
        </is>
      </c>
      <c r="K168" s="5"/>
      <c r="L168" s="5"/>
      <c r="M168" s="5"/>
      <c r="N168" s="5"/>
    </row>
    <row r="169">
      <c r="A169" s="1" t="inlineStr">
        <is>
          <t xml:space="preserve">M19-04</t>
        </is>
      </c>
      <c r="B169" s="1" t="inlineStr">
        <is>
          <t xml:space="preserve">M19 Access and permissions</t>
        </is>
      </c>
      <c r="C169" s="1" t="inlineStr">
        <is>
          <t xml:space="preserve">Convert a member to a guest</t>
        </is>
      </c>
      <c r="D169" s="1" t="inlineStr">
        <is>
          <t xml:space="preserve">Admin, then Amara</t>
        </is>
      </c>
      <c r="E169" s="1" t="inlineStr">
        <is>
          <t xml:space="preserve">None</t>
        </is>
      </c>
      <c r="F169" s="1" t="inlineStr">
        <is>
          <t xml:space="preserve">1. On Amara's profile click "Convert to a guest"
2. As Amara browse the work map, Goals and Spaces</t>
        </is>
      </c>
      <c r="G169" s="1" t="inlineStr">
        <is>
          <t xml:space="preserve">Amara shows the badge "Guest" and sees less than before. Write down what Amara can still see</t>
        </is>
      </c>
      <c r="H169" s="1" t="inlineStr">
        <is>
          <t xml:space="preserve">Medium</t>
        </is>
      </c>
      <c r="I169" s="1"/>
      <c r="J169" s="5" t="inlineStr">
        <is>
          <t xml:space="preserve">Not Run</t>
        </is>
      </c>
      <c r="K169" s="5"/>
      <c r="L169" s="5"/>
      <c r="M169" s="5"/>
      <c r="N169" s="5"/>
    </row>
    <row r="170">
      <c r="A170" s="1" t="inlineStr">
        <is>
          <t xml:space="preserve">M19-05</t>
        </is>
      </c>
      <c r="B170" s="1" t="inlineStr">
        <is>
          <t xml:space="preserve">M19 Access and permissions</t>
        </is>
      </c>
      <c r="C170" s="1" t="inlineStr">
        <is>
          <t xml:space="preserve">Erase a member</t>
        </is>
      </c>
      <c r="D170" s="1" t="inlineStr">
        <is>
          <t xml:space="preserve">Admin</t>
        </is>
      </c>
      <c r="E170" s="1" t="inlineStr">
        <is>
          <t xml:space="preserve">Test Leaver from M04-02</t>
        </is>
      </c>
      <c r="F170" s="1" t="inlineStr">
        <is>
          <t xml:space="preserve">1. On their profile click "Erase this member"
2. Type their name to confirm
3. Click "Download the erasure export"</t>
        </is>
      </c>
      <c r="G170" s="1" t="inlineStr">
        <is>
          <t xml:space="preserve">The member is erased and the export downloads</t>
        </is>
      </c>
      <c r="H170" s="1" t="inlineStr">
        <is>
          <t xml:space="preserve">Medium</t>
        </is>
      </c>
      <c r="I170" s="1" t="inlineStr">
        <is>
          <t xml:space="preserve">Irreversible. Never use one of the seven personas</t>
        </is>
      </c>
      <c r="J170" s="5" t="inlineStr">
        <is>
          <t xml:space="preserve">Not Run</t>
        </is>
      </c>
      <c r="K170" s="5"/>
      <c r="L170" s="5"/>
      <c r="M170" s="5"/>
      <c r="N170" s="5"/>
    </row>
    <row r="171">
      <c r="A171" s="3" t="inlineStr">
        <is>
          <t xml:space="preserve">M20 AI provider and copilot: Turn AI on and check it drafts while a person decides. Needs M11 first. About 30 min. Full workflow on the Module Guide sheet.</t>
        </is>
      </c>
      <c r="B171" s="3"/>
      <c r="C171" s="3"/>
      <c r="D171" s="3"/>
      <c r="E171" s="3"/>
      <c r="F171" s="3"/>
      <c r="G171" s="3"/>
      <c r="H171" s="3"/>
      <c r="I171" s="3"/>
      <c r="J171" s="3"/>
      <c r="K171" s="3"/>
      <c r="L171" s="3"/>
      <c r="M171" s="3"/>
      <c r="N171" s="3"/>
    </row>
    <row r="172">
      <c r="A172" s="1" t="inlineStr">
        <is>
          <t xml:space="preserve">M20-01</t>
        </is>
      </c>
      <c r="B172" s="1" t="inlineStr">
        <is>
          <t xml:space="preserve">M20 AI provider and copilot</t>
        </is>
      </c>
      <c r="C172" s="1" t="inlineStr">
        <is>
          <t xml:space="preserve">Connect an AI provider</t>
        </is>
      </c>
      <c r="D172" s="1" t="inlineStr">
        <is>
          <t xml:space="preserve">Admin</t>
        </is>
      </c>
      <c r="E172" s="1" t="inlineStr">
        <is>
          <t xml:space="preserve">An API key from Anthropic, OpenAI, Google, OpenRouter, or a local Ollama</t>
        </is>
      </c>
      <c r="F172" s="1" t="inlineStr">
        <is>
          <t xml:space="preserve">1. Open Admin, AI
2. On the provider card tick "Use this provider" and click "Save"
3. Paste the key and click "Store"</t>
        </is>
      </c>
      <c r="G172" s="1" t="inlineStr">
        <is>
          <t xml:space="preserve">Key chip shows "verified". The header counts 1 configured</t>
        </is>
      </c>
      <c r="H172" s="1" t="inlineStr">
        <is>
          <t xml:space="preserve">High</t>
        </is>
      </c>
      <c r="I172" s="1" t="inlineStr">
        <is>
          <t xml:space="preserve">Use a key with a small spend limit. Never paste the key into the spreadsheet</t>
        </is>
      </c>
      <c r="J172" s="5" t="inlineStr">
        <is>
          <t xml:space="preserve">Not Run</t>
        </is>
      </c>
      <c r="K172" s="5"/>
      <c r="L172" s="5"/>
      <c r="M172" s="5"/>
      <c r="N172" s="5"/>
    </row>
    <row r="173">
      <c r="A173" s="1" t="inlineStr">
        <is>
          <t xml:space="preserve">M20-02</t>
        </is>
      </c>
      <c r="B173" s="1" t="inlineStr">
        <is>
          <t xml:space="preserve">M20 AI provider and copilot</t>
        </is>
      </c>
      <c r="C173" s="1" t="inlineStr">
        <is>
          <t xml:space="preserve">A bad key is marked invalid</t>
        </is>
      </c>
      <c r="D173" s="1" t="inlineStr">
        <is>
          <t xml:space="preserve">Admin</t>
        </is>
      </c>
      <c r="E173" s="1" t="inlineStr">
        <is>
          <t xml:space="preserve">None</t>
        </is>
      </c>
      <c r="F173" s="1" t="inlineStr">
        <is>
          <t xml:space="preserve">1. Click "Replace" and store a wrong key</t>
        </is>
      </c>
      <c r="G173" s="1" t="inlineStr">
        <is>
          <t xml:space="preserve">Key chip shows "invalid"</t>
        </is>
      </c>
      <c r="H173" s="1" t="inlineStr">
        <is>
          <t xml:space="preserve">Medium</t>
        </is>
      </c>
      <c r="I173" s="1"/>
      <c r="J173" s="5" t="inlineStr">
        <is>
          <t xml:space="preserve">Not Run</t>
        </is>
      </c>
      <c r="K173" s="5"/>
      <c r="L173" s="5"/>
      <c r="M173" s="5"/>
      <c r="N173" s="5"/>
    </row>
    <row r="174">
      <c r="A174" s="1" t="inlineStr">
        <is>
          <t xml:space="preserve">M20-03</t>
        </is>
      </c>
      <c r="B174" s="1" t="inlineStr">
        <is>
          <t xml:space="preserve">M20 AI provider and copilot</t>
        </is>
      </c>
      <c r="C174" s="1" t="inlineStr">
        <is>
          <t xml:space="preserve">AI buttons appear when AI is on</t>
        </is>
      </c>
      <c r="D174" s="1" t="inlineStr">
        <is>
          <t xml:space="preserve">Sara</t>
        </is>
      </c>
      <c r="E174" s="1" t="inlineStr">
        <is>
          <t xml:space="preserve">M20-01 done</t>
        </is>
      </c>
      <c r="F174" s="1" t="inlineStr">
        <is>
          <t xml:space="preserve">1. Open Cycle, phase 4
2. Open a goal</t>
        </is>
      </c>
      <c r="G174" s="1" t="inlineStr">
        <is>
          <t xml:space="preserve">"Draft from an ambition", "Suggest a parent", "Suggest numbers" and "Suggest a fix" are visible</t>
        </is>
      </c>
      <c r="H174" s="1" t="inlineStr">
        <is>
          <t xml:space="preserve">High</t>
        </is>
      </c>
      <c r="I174" s="1"/>
      <c r="J174" s="5" t="inlineStr">
        <is>
          <t xml:space="preserve">Not Run</t>
        </is>
      </c>
      <c r="K174" s="5"/>
      <c r="L174" s="5"/>
      <c r="M174" s="5"/>
      <c r="N174" s="5"/>
    </row>
    <row r="175">
      <c r="A175" s="1" t="inlineStr">
        <is>
          <t xml:space="preserve">M20-04</t>
        </is>
      </c>
      <c r="B175" s="1" t="inlineStr">
        <is>
          <t xml:space="preserve">M20 AI provider and copilot</t>
        </is>
      </c>
      <c r="C175" s="1" t="inlineStr">
        <is>
          <t xml:space="preserve">AI drafts, a person decides</t>
        </is>
      </c>
      <c r="D175" s="1" t="inlineStr">
        <is>
          <t xml:space="preserve">Sara</t>
        </is>
      </c>
      <c r="E175" s="1" t="inlineStr">
        <is>
          <t xml:space="preserve">M20-03 done</t>
        </is>
      </c>
      <c r="F175" s="1" t="inlineStr">
        <is>
          <t xml:space="preserve">1. Click "Draft from an ambition" and give one sentence
2. Read the result without accepting it
3. Reload</t>
        </is>
      </c>
      <c r="G175" s="1" t="inlineStr">
        <is>
          <t xml:space="preserve">A draft is proposed. Nothing is saved until accepted</t>
        </is>
      </c>
      <c r="H175" s="1" t="inlineStr">
        <is>
          <t xml:space="preserve">High</t>
        </is>
      </c>
      <c r="I175" s="1"/>
      <c r="J175" s="5" t="inlineStr">
        <is>
          <t xml:space="preserve">Not Run</t>
        </is>
      </c>
      <c r="K175" s="5"/>
      <c r="L175" s="5"/>
      <c r="M175" s="5"/>
      <c r="N175" s="5"/>
    </row>
    <row r="176">
      <c r="A176" s="1" t="inlineStr">
        <is>
          <t xml:space="preserve">M20-05</t>
        </is>
      </c>
      <c r="B176" s="1" t="inlineStr">
        <is>
          <t xml:space="preserve">M20 AI provider and copilot</t>
        </is>
      </c>
      <c r="C176" s="1" t="inlineStr">
        <is>
          <t xml:space="preserve">Copilot answers with sources</t>
        </is>
      </c>
      <c r="D176" s="1" t="inlineStr">
        <is>
          <t xml:space="preserve">Sara</t>
        </is>
      </c>
      <c r="E176" s="1" t="inlineStr">
        <is>
          <t xml:space="preserve">M20-01 done</t>
        </is>
      </c>
      <c r="F176" s="1" t="inlineStr">
        <is>
          <t xml:space="preserve">1. Open the copilot and ask: which key results are at risk this cycle</t>
        </is>
      </c>
      <c r="G176" s="1" t="inlineStr">
        <is>
          <t xml:space="preserve">A streamed answer with "Sources". Any change is shown as "Proposed change" with "Undo"</t>
        </is>
      </c>
      <c r="H176" s="1" t="inlineStr">
        <is>
          <t xml:space="preserve">High</t>
        </is>
      </c>
      <c r="I176" s="1"/>
      <c r="J176" s="5" t="inlineStr">
        <is>
          <t xml:space="preserve">Not Run</t>
        </is>
      </c>
      <c r="K176" s="5"/>
      <c r="L176" s="5"/>
      <c r="M176" s="5"/>
      <c r="N176" s="5"/>
    </row>
    <row r="177">
      <c r="A177" s="1" t="inlineStr">
        <is>
          <t xml:space="preserve">M20-06</t>
        </is>
      </c>
      <c r="B177" s="1" t="inlineStr">
        <is>
          <t xml:space="preserve">M20 AI provider and copilot</t>
        </is>
      </c>
      <c r="C177" s="1" t="inlineStr">
        <is>
          <t xml:space="preserve">Copilot does not leak private items</t>
        </is>
      </c>
      <c r="D177" s="1" t="inlineStr">
        <is>
          <t xml:space="preserve">Jonas</t>
        </is>
      </c>
      <c r="E177" s="1" t="inlineStr">
        <is>
          <t xml:space="preserve">Sara has a draft document</t>
        </is>
      </c>
      <c r="F177" s="1" t="inlineStr">
        <is>
          <t xml:space="preserve">1. Ask the copilot about Sara's draft document</t>
        </is>
      </c>
      <c r="G177" s="1" t="inlineStr">
        <is>
          <t xml:space="preserve">The answer does not show its content</t>
        </is>
      </c>
      <c r="H177" s="1" t="inlineStr">
        <is>
          <t xml:space="preserve">High</t>
        </is>
      </c>
      <c r="I177" s="1"/>
      <c r="J177" s="5" t="inlineStr">
        <is>
          <t xml:space="preserve">Not Run</t>
        </is>
      </c>
      <c r="K177" s="5"/>
      <c r="L177" s="5"/>
      <c r="M177" s="5"/>
      <c r="N177" s="5"/>
    </row>
    <row r="178">
      <c r="A178" s="1" t="inlineStr">
        <is>
          <t xml:space="preserve">M20-07</t>
        </is>
      </c>
      <c r="B178" s="1" t="inlineStr">
        <is>
          <t xml:space="preserve">M20 AI provider and copilot</t>
        </is>
      </c>
      <c r="C178" s="1" t="inlineStr">
        <is>
          <t xml:space="preserve">Agents draft with AI on</t>
        </is>
      </c>
      <c r="D178" s="1" t="inlineStr">
        <is>
          <t xml:space="preserve">Admin</t>
        </is>
      </c>
      <c r="E178" s="1" t="inlineStr">
        <is>
          <t xml:space="preserve">M20-01 done</t>
        </is>
      </c>
      <c r="F178" s="1" t="inlineStr">
        <is>
          <t xml:space="preserve">1. Open Admin, Agents and runs</t>
        </is>
      </c>
      <c r="G178" s="1" t="inlineStr">
        <is>
          <t xml:space="preserve">Chip shows "Drafting on"</t>
        </is>
      </c>
      <c r="H178" s="1" t="inlineStr">
        <is>
          <t xml:space="preserve">Low</t>
        </is>
      </c>
      <c r="I178" s="1"/>
      <c r="J178" s="5" t="inlineStr">
        <is>
          <t xml:space="preserve">Not Run</t>
        </is>
      </c>
      <c r="K178" s="5"/>
      <c r="L178" s="5"/>
      <c r="M178" s="5"/>
      <c r="N178" s="5"/>
    </row>
    <row r="179">
      <c r="A179" s="1" t="inlineStr">
        <is>
          <t xml:space="preserve">M20-08</t>
        </is>
      </c>
      <c r="B179" s="1" t="inlineStr">
        <is>
          <t xml:space="preserve">M20 AI provider and copilot</t>
        </is>
      </c>
      <c r="C179" s="1" t="inlineStr">
        <is>
          <t xml:space="preserve">Removing the key returns to deterministic mode</t>
        </is>
      </c>
      <c r="D179" s="1" t="inlineStr">
        <is>
          <t xml:space="preserve">Admin</t>
        </is>
      </c>
      <c r="E179" s="1" t="inlineStr">
        <is>
          <t xml:space="preserve">M20-01 done</t>
        </is>
      </c>
      <c r="F179" s="1" t="inlineStr">
        <is>
          <t xml:space="preserve">1. Click "Remove the key"
2. Draft an objective with bad wording</t>
        </is>
      </c>
      <c r="G179" s="1" t="inlineStr">
        <is>
          <t xml:space="preserve">AI buttons disappear. Quality checks still fire</t>
        </is>
      </c>
      <c r="H179" s="1" t="inlineStr">
        <is>
          <t xml:space="preserve">High</t>
        </is>
      </c>
      <c r="I179" s="1"/>
      <c r="J179" s="5" t="inlineStr">
        <is>
          <t xml:space="preserve">Not Run</t>
        </is>
      </c>
      <c r="K179" s="5"/>
      <c r="L179" s="5"/>
      <c r="M179" s="5"/>
      <c r="N179" s="5"/>
    </row>
    <row r="180">
      <c r="A180" s="3" t="inlineStr">
        <is>
          <t xml:space="preserve">M21 Chat channels and email: Deliver mail and chat messages to real inboxes and apps. Needs M16 first. About 60 min. Full workflow on the Module Guide sheet.</t>
        </is>
      </c>
      <c r="B180" s="3"/>
      <c r="C180" s="3"/>
      <c r="D180" s="3"/>
      <c r="E180" s="3"/>
      <c r="F180" s="3"/>
      <c r="G180" s="3"/>
      <c r="H180" s="3"/>
      <c r="I180" s="3"/>
      <c r="J180" s="3"/>
      <c r="K180" s="3"/>
      <c r="L180" s="3"/>
      <c r="M180" s="3"/>
      <c r="N180" s="3"/>
    </row>
    <row r="181">
      <c r="A181" s="1" t="inlineStr">
        <is>
          <t xml:space="preserve">M21-01</t>
        </is>
      </c>
      <c r="B181" s="1" t="inlineStr">
        <is>
          <t xml:space="preserve">M21 Chat channels and email</t>
        </is>
      </c>
      <c r="C181" s="1" t="inlineStr">
        <is>
          <t xml:space="preserve">Real email delivery</t>
        </is>
      </c>
      <c r="D181" s="1" t="inlineStr">
        <is>
          <t xml:space="preserve">Admin, then Jonas</t>
        </is>
      </c>
      <c r="E181" s="1" t="inlineStr">
        <is>
          <t xml:space="preserve">Server started with SMTP settings (OPENOKR_MAIL_TRANSPORT and friends), or Mailpit on localhost port 1025</t>
        </is>
      </c>
      <c r="F181" s="1" t="inlineStr">
        <is>
          <t xml:space="preserve">1. Create a personal invitation for a spare email
2. Jonas uses "Forgot your password?"</t>
        </is>
      </c>
      <c r="G181" s="1" t="inlineStr">
        <is>
          <t xml:space="preserve">Both mails arrive with working links. The console mail banner on Admin, General is gone</t>
        </is>
      </c>
      <c r="H181" s="1" t="inlineStr">
        <is>
          <t xml:space="preserve">High</t>
        </is>
      </c>
      <c r="I181" s="1" t="inlineStr">
        <is>
          <t xml:space="preserve">Mailpit shows every mail at http://localhost:8025</t>
        </is>
      </c>
      <c r="J181" s="5" t="inlineStr">
        <is>
          <t xml:space="preserve">Not Run</t>
        </is>
      </c>
      <c r="K181" s="5"/>
      <c r="L181" s="5"/>
      <c r="M181" s="5"/>
      <c r="N181" s="5"/>
    </row>
    <row r="182">
      <c r="A182" s="1" t="inlineStr">
        <is>
          <t xml:space="preserve">M21-02</t>
        </is>
      </c>
      <c r="B182" s="1" t="inlineStr">
        <is>
          <t xml:space="preserve">M21 Chat channels and email</t>
        </is>
      </c>
      <c r="C182" s="1" t="inlineStr">
        <is>
          <t xml:space="preserve">Connect Slack</t>
        </is>
      </c>
      <c r="D182" s="1" t="inlineStr">
        <is>
          <t xml:space="preserve">Admin</t>
        </is>
      </c>
      <c r="E182" s="1" t="inlineStr">
        <is>
          <t xml:space="preserve">A Slack app with bot token, signing secret and workspace id. Events URL set to &lt;instance&gt;/api/channels/slack</t>
        </is>
      </c>
      <c r="F182" s="1" t="inlineStr">
        <is>
          <t xml:space="preserve">1. Open Admin, Channels, Slack
2. Fill "Bot token", "Signing or webhook secret", "Provider workspace id"
3. Click "Connect"</t>
        </is>
      </c>
      <c r="G182" s="1" t="inlineStr">
        <is>
          <t xml:space="preserve">Status "connected"</t>
        </is>
      </c>
      <c r="H182" s="1" t="inlineStr">
        <is>
          <t xml:space="preserve">High</t>
        </is>
      </c>
      <c r="I182" s="1" t="inlineStr">
        <is>
          <t xml:space="preserve">The instance must be reachable from the internet (ngrok or a public host)</t>
        </is>
      </c>
      <c r="J182" s="5" t="inlineStr">
        <is>
          <t xml:space="preserve">Not Run</t>
        </is>
      </c>
      <c r="K182" s="5"/>
      <c r="L182" s="5"/>
      <c r="M182" s="5"/>
      <c r="N182" s="5"/>
    </row>
    <row r="183">
      <c r="A183" s="1" t="inlineStr">
        <is>
          <t xml:space="preserve">M21-03</t>
        </is>
      </c>
      <c r="B183" s="1" t="inlineStr">
        <is>
          <t xml:space="preserve">M21 Chat channels and email</t>
        </is>
      </c>
      <c r="C183" s="1" t="inlineStr">
        <is>
          <t xml:space="preserve">Link a member's Slack account</t>
        </is>
      </c>
      <c r="D183" s="1" t="inlineStr">
        <is>
          <t xml:space="preserve">Sara</t>
        </is>
      </c>
      <c r="E183" s="1" t="inlineStr">
        <is>
          <t xml:space="preserve">M21-02 done</t>
        </is>
      </c>
      <c r="F183" s="1" t="inlineStr">
        <is>
          <t xml:space="preserve">1. Open Account, Where to reach you, "Linked accounts", click "Get a code"
2. Send the 6-digit code to the OpenOKR bot in Slack within ten minutes</t>
        </is>
      </c>
      <c r="G183" s="1" t="inlineStr">
        <is>
          <t xml:space="preserve">The chip turns from "not linked" to "linked" with "Unlink"</t>
        </is>
      </c>
      <c r="H183" s="1" t="inlineStr">
        <is>
          <t xml:space="preserve">High</t>
        </is>
      </c>
      <c r="I183" s="1"/>
      <c r="J183" s="5" t="inlineStr">
        <is>
          <t xml:space="preserve">Not Run</t>
        </is>
      </c>
      <c r="K183" s="5"/>
      <c r="L183" s="5"/>
      <c r="M183" s="5"/>
      <c r="N183" s="5"/>
    </row>
    <row r="184">
      <c r="A184" s="1" t="inlineStr">
        <is>
          <t xml:space="preserve">M21-04</t>
        </is>
      </c>
      <c r="B184" s="1" t="inlineStr">
        <is>
          <t xml:space="preserve">M21 Chat channels and email</t>
        </is>
      </c>
      <c r="C184" s="1" t="inlineStr">
        <is>
          <t xml:space="preserve">A nudge arrives in Slack</t>
        </is>
      </c>
      <c r="D184" s="1" t="inlineStr">
        <is>
          <t xml:space="preserve">Sara</t>
        </is>
      </c>
      <c r="E184" s="1" t="inlineStr">
        <is>
          <t xml:space="preserve">M21-03 done. Sara owes a check-in</t>
        </is>
      </c>
      <c r="F184" s="1" t="inlineStr">
        <is>
          <t xml:space="preserve">1. Set "Primary channel" to Slack and save
2. Admin runs "Nudge queue"</t>
        </is>
      </c>
      <c r="G184" s="1" t="inlineStr">
        <is>
          <t xml:space="preserve">The message arrives in Slack. Admin, Channels, "Recent messages" shows sent</t>
        </is>
      </c>
      <c r="H184" s="1" t="inlineStr">
        <is>
          <t xml:space="preserve">High</t>
        </is>
      </c>
      <c r="I184" s="1" t="inlineStr">
        <is>
          <t xml:space="preserve">"Send me a test" sends an email, not a Slack message. Do not use it to prove chat delivery</t>
        </is>
      </c>
      <c r="J184" s="5" t="inlineStr">
        <is>
          <t xml:space="preserve">Not Run</t>
        </is>
      </c>
      <c r="K184" s="5"/>
      <c r="L184" s="5"/>
      <c r="M184" s="5"/>
      <c r="N184" s="5"/>
    </row>
    <row r="185">
      <c r="A185" s="1" t="inlineStr">
        <is>
          <t xml:space="preserve">M21-05</t>
        </is>
      </c>
      <c r="B185" s="1" t="inlineStr">
        <is>
          <t xml:space="preserve">M21 Chat channels and email</t>
        </is>
      </c>
      <c r="C185" s="1" t="inlineStr">
        <is>
          <t xml:space="preserve">Chat commands work</t>
        </is>
      </c>
      <c r="D185" s="1" t="inlineStr">
        <is>
          <t xml:space="preserve">Sara</t>
        </is>
      </c>
      <c r="E185" s="1" t="inlineStr">
        <is>
          <t xml:space="preserve">M21-03 done</t>
        </is>
      </c>
      <c r="F185" s="1" t="inlineStr">
        <is>
          <t xml:space="preserve">1. In Slack type /okr help
2. Type /okr checkin and follow the prompts</t>
        </is>
      </c>
      <c r="G185" s="1" t="inlineStr">
        <is>
          <t xml:space="preserve">Help lists the commands. The check-in appears on the goal like one made in the browser</t>
        </is>
      </c>
      <c r="H185" s="1" t="inlineStr">
        <is>
          <t xml:space="preserve">Medium</t>
        </is>
      </c>
      <c r="I185" s="1"/>
      <c r="J185" s="5" t="inlineStr">
        <is>
          <t xml:space="preserve">Not Run</t>
        </is>
      </c>
      <c r="K185" s="5"/>
      <c r="L185" s="5"/>
      <c r="M185" s="5"/>
      <c r="N185" s="5"/>
    </row>
    <row r="186">
      <c r="A186" s="1" t="inlineStr">
        <is>
          <t xml:space="preserve">M21-06</t>
        </is>
      </c>
      <c r="B186" s="1" t="inlineStr">
        <is>
          <t xml:space="preserve">M21 Chat channels and email</t>
        </is>
      </c>
      <c r="C186" s="1" t="inlineStr">
        <is>
          <t xml:space="preserve">Microsoft Teams end to end</t>
        </is>
      </c>
      <c r="D186" s="1" t="inlineStr">
        <is>
          <t xml:space="preserve">Admin, then Sara</t>
        </is>
      </c>
      <c r="E186" s="1" t="inlineStr">
        <is>
          <t xml:space="preserve">A Teams app (deploy/teams manifest), client id and secret, tenant id</t>
        </is>
      </c>
      <c r="F186" s="1" t="inlineStr">
        <is>
          <t xml:space="preserve">1. Connect Teams on Admin, Channels
2. Sara links her account with a code
3. Run "Nudge queue"</t>
        </is>
      </c>
      <c r="G186" s="1" t="inlineStr">
        <is>
          <t xml:space="preserve">Connected, linked, and the nudge arrives in Teams</t>
        </is>
      </c>
      <c r="H186" s="1" t="inlineStr">
        <is>
          <t xml:space="preserve">Medium</t>
        </is>
      </c>
      <c r="I186" s="1"/>
      <c r="J186" s="5" t="inlineStr">
        <is>
          <t xml:space="preserve">Not Run</t>
        </is>
      </c>
      <c r="K186" s="5"/>
      <c r="L186" s="5"/>
      <c r="M186" s="5"/>
      <c r="N186" s="5"/>
    </row>
    <row r="187">
      <c r="A187" s="1" t="inlineStr">
        <is>
          <t xml:space="preserve">M21-07</t>
        </is>
      </c>
      <c r="B187" s="1" t="inlineStr">
        <is>
          <t xml:space="preserve">M21 Chat channels and email</t>
        </is>
      </c>
      <c r="C187" s="1" t="inlineStr">
        <is>
          <t xml:space="preserve">WhatsApp end to end</t>
        </is>
      </c>
      <c r="D187" s="1" t="inlineStr">
        <is>
          <t xml:space="preserve">Admin, then Sara</t>
        </is>
      </c>
      <c r="E187" s="1" t="inlineStr">
        <is>
          <t xml:space="preserve">Meta WhatsApp Business app, permanent token, app secret and verify token, phone number id</t>
        </is>
      </c>
      <c r="F187" s="1" t="inlineStr">
        <is>
          <t xml:space="preserve">1. Connect WhatsApp on Admin, Channels
2. Click "Sync from Meta" and map a template to a reminder
3. Sara links her number with a code
4. Run "Nudge queue"</t>
        </is>
      </c>
      <c r="G187" s="1" t="inlineStr">
        <is>
          <t xml:space="preserve">Connected, linked, and the reminder arrives on WhatsApp</t>
        </is>
      </c>
      <c r="H187" s="1" t="inlineStr">
        <is>
          <t xml:space="preserve">Medium</t>
        </is>
      </c>
      <c r="I187" s="1"/>
      <c r="J187" s="5" t="inlineStr">
        <is>
          <t xml:space="preserve">Not Run</t>
        </is>
      </c>
      <c r="K187" s="5"/>
      <c r="L187" s="5"/>
      <c r="M187" s="5"/>
      <c r="N187" s="5"/>
    </row>
    <row r="188">
      <c r="A188" s="1" t="inlineStr">
        <is>
          <t xml:space="preserve">M21-08</t>
        </is>
      </c>
      <c r="B188" s="1" t="inlineStr">
        <is>
          <t xml:space="preserve">M21 Chat channels and email</t>
        </is>
      </c>
      <c r="C188" s="1" t="inlineStr">
        <is>
          <t xml:space="preserve">Telegram end to end</t>
        </is>
      </c>
      <c r="D188" s="1" t="inlineStr">
        <is>
          <t xml:space="preserve">Admin, then Sara</t>
        </is>
      </c>
      <c r="E188" s="1" t="inlineStr">
        <is>
          <t xml:space="preserve">A BotFather token and a webhook secret</t>
        </is>
      </c>
      <c r="F188" s="1" t="inlineStr">
        <is>
          <t xml:space="preserve">1. Connect Telegram on Admin, Channels
2. Sara links her account with a code
3. Run "Nudge queue"</t>
        </is>
      </c>
      <c r="G188" s="1" t="inlineStr">
        <is>
          <t xml:space="preserve">Connected, linked, and the nudge arrives in Telegram</t>
        </is>
      </c>
      <c r="H188" s="1" t="inlineStr">
        <is>
          <t xml:space="preserve">Medium</t>
        </is>
      </c>
      <c r="I188" s="1"/>
      <c r="J188" s="5" t="inlineStr">
        <is>
          <t xml:space="preserve">Not Run</t>
        </is>
      </c>
      <c r="K188" s="5"/>
      <c r="L188" s="5"/>
      <c r="M188" s="5"/>
      <c r="N188" s="5"/>
    </row>
    <row r="189">
      <c r="A189" s="1" t="inlineStr">
        <is>
          <t xml:space="preserve">M21-09</t>
        </is>
      </c>
      <c r="B189" s="1" t="inlineStr">
        <is>
          <t xml:space="preserve">M21 Chat channels and email</t>
        </is>
      </c>
      <c r="C189" s="1" t="inlineStr">
        <is>
          <t xml:space="preserve">Disconnect a channel</t>
        </is>
      </c>
      <c r="D189" s="1" t="inlineStr">
        <is>
          <t xml:space="preserve">Admin</t>
        </is>
      </c>
      <c r="E189" s="1" t="inlineStr">
        <is>
          <t xml:space="preserve">A connected channel</t>
        </is>
      </c>
      <c r="F189" s="1" t="inlineStr">
        <is>
          <t xml:space="preserve">1. Click "Disconnect"
2. As Sara open Account, Where to reach you</t>
        </is>
      </c>
      <c r="G189" s="1" t="inlineStr">
        <is>
          <t xml:space="preserve">Status "not connected". Sara's option for that channel is disabled</t>
        </is>
      </c>
      <c r="H189" s="1" t="inlineStr">
        <is>
          <t xml:space="preserve">Medium</t>
        </is>
      </c>
      <c r="I189" s="1"/>
      <c r="J189" s="5" t="inlineStr">
        <is>
          <t xml:space="preserve">Not Run</t>
        </is>
      </c>
      <c r="K189" s="5"/>
      <c r="L189" s="5"/>
      <c r="M189" s="5"/>
      <c r="N189" s="5"/>
    </row>
    <row r="190">
      <c r="A190" s="3" t="inlineStr">
        <is>
          <t xml:space="preserve">M22 Single sign-on and directory sync: Sign in through a company identity provider and sync the directory. Needs M04 first. About 45 min. Full workflow on the Module Guide sheet.</t>
        </is>
      </c>
      <c r="B190" s="3"/>
      <c r="C190" s="3"/>
      <c r="D190" s="3"/>
      <c r="E190" s="3"/>
      <c r="F190" s="3"/>
      <c r="G190" s="3"/>
      <c r="H190" s="3"/>
      <c r="I190" s="3"/>
      <c r="J190" s="3"/>
      <c r="K190" s="3"/>
      <c r="L190" s="3"/>
      <c r="M190" s="3"/>
      <c r="N190" s="3"/>
    </row>
    <row r="191">
      <c r="A191" s="1" t="inlineStr">
        <is>
          <t xml:space="preserve">M22-01</t>
        </is>
      </c>
      <c r="B191" s="1" t="inlineStr">
        <is>
          <t xml:space="preserve">M22 Single sign-on and directory sync</t>
        </is>
      </c>
      <c r="C191" s="1" t="inlineStr">
        <is>
          <t xml:space="preserve">Add an OIDC provider and sign in with it</t>
        </is>
      </c>
      <c r="D191" s="1" t="inlineStr">
        <is>
          <t xml:space="preserve">Admin</t>
        </is>
      </c>
      <c r="E191" s="1" t="inlineStr">
        <is>
          <t xml:space="preserve">An OIDC app at Google, Okta, Entra or Keycloak with the redirect URL registered</t>
        </is>
      </c>
      <c r="F191" s="1" t="inlineStr">
        <is>
          <t xml:space="preserve">1. Open Admin, Single sign-on, "Add provider"
2. Protocol OIDC, fill Provider ID, Display name, Discovery URL, Client ID, Client secret, email domain
3. Click "Add provider"
4. Restart the instance
5. Sign out, use the new button on the sign-in page</t>
        </is>
      </c>
      <c r="G191" s="1" t="inlineStr">
        <is>
          <t xml:space="preserve">"Provider saved. It will take effect on the next instance restart." The sign-in page shows the provider button and sign-in works</t>
        </is>
      </c>
      <c r="H191" s="1" t="inlineStr">
        <is>
          <t xml:space="preserve">Medium</t>
        </is>
      </c>
      <c r="I191" s="1" t="inlineStr">
        <is>
          <t xml:space="preserve">Needs a restart, which needs server access</t>
        </is>
      </c>
      <c r="J191" s="5" t="inlineStr">
        <is>
          <t xml:space="preserve">Not Run</t>
        </is>
      </c>
      <c r="K191" s="5"/>
      <c r="L191" s="5"/>
      <c r="M191" s="5"/>
      <c r="N191" s="5"/>
    </row>
    <row r="192">
      <c r="A192" s="1" t="inlineStr">
        <is>
          <t xml:space="preserve">M22-02</t>
        </is>
      </c>
      <c r="B192" s="1" t="inlineStr">
        <is>
          <t xml:space="preserve">M22 Single sign-on and directory sync</t>
        </is>
      </c>
      <c r="C192" s="1" t="inlineStr">
        <is>
          <t xml:space="preserve">Enforce SSO for a domain</t>
        </is>
      </c>
      <c r="D192" s="1" t="inlineStr">
        <is>
          <t xml:space="preserve">Admin</t>
        </is>
      </c>
      <c r="E192" s="1" t="inlineStr">
        <is>
          <t xml:space="preserve">M22-01 done</t>
        </is>
      </c>
      <c r="F192" s="1" t="inlineStr">
        <is>
          <t xml:space="preserve">1. Tick "Enforce SSO for the email domains listed above" and save, restart
2. Try password sign-in with an address on that domain</t>
        </is>
      </c>
      <c r="G192" s="1" t="inlineStr">
        <is>
          <t xml:space="preserve">Password sign-in is refused for that domain</t>
        </is>
      </c>
      <c r="H192" s="1" t="inlineStr">
        <is>
          <t xml:space="preserve">Medium</t>
        </is>
      </c>
      <c r="I192" s="1" t="inlineStr">
        <is>
          <t xml:space="preserve">Do not enforce on the Admin's own domain, or you lock yourself out</t>
        </is>
      </c>
      <c r="J192" s="5" t="inlineStr">
        <is>
          <t xml:space="preserve">Not Run</t>
        </is>
      </c>
      <c r="K192" s="5"/>
      <c r="L192" s="5"/>
      <c r="M192" s="5"/>
      <c r="N192" s="5"/>
    </row>
    <row r="193">
      <c r="A193" s="1" t="inlineStr">
        <is>
          <t xml:space="preserve">M22-03</t>
        </is>
      </c>
      <c r="B193" s="1" t="inlineStr">
        <is>
          <t xml:space="preserve">M22 Single sign-on and directory sync</t>
        </is>
      </c>
      <c r="C193" s="1" t="inlineStr">
        <is>
          <t xml:space="preserve">SAML provider</t>
        </is>
      </c>
      <c r="D193" s="1" t="inlineStr">
        <is>
          <t xml:space="preserve">Admin</t>
        </is>
      </c>
      <c r="E193" s="1" t="inlineStr">
        <is>
          <t xml:space="preserve">A SAML IdP</t>
        </is>
      </c>
      <c r="F193" s="1" t="inlineStr">
        <is>
          <t xml:space="preserve">1. Add a SAML 2.0 provider with Sign-on URL, Issuer and Signing certificate
2. Copy the "Assertion consumer service" URL into the IdP
3. Restart and sign in</t>
        </is>
      </c>
      <c r="G193" s="1" t="inlineStr">
        <is>
          <t xml:space="preserve">Sign-in through SAML works</t>
        </is>
      </c>
      <c r="H193" s="1" t="inlineStr">
        <is>
          <t xml:space="preserve">Low</t>
        </is>
      </c>
      <c r="I193" s="1"/>
      <c r="J193" s="5" t="inlineStr">
        <is>
          <t xml:space="preserve">Not Run</t>
        </is>
      </c>
      <c r="K193" s="5"/>
      <c r="L193" s="5"/>
      <c r="M193" s="5"/>
      <c r="N193" s="5"/>
    </row>
    <row r="194">
      <c r="A194" s="1" t="inlineStr">
        <is>
          <t xml:space="preserve">M22-04</t>
        </is>
      </c>
      <c r="B194" s="1" t="inlineStr">
        <is>
          <t xml:space="preserve">M22 Single sign-on and directory sync</t>
        </is>
      </c>
      <c r="C194" s="1" t="inlineStr">
        <is>
          <t xml:space="preserve">SCIM token and user push</t>
        </is>
      </c>
      <c r="D194" s="1" t="inlineStr">
        <is>
          <t xml:space="preserve">Admin</t>
        </is>
      </c>
      <c r="E194" s="1" t="inlineStr">
        <is>
          <t xml:space="preserve">An IdP that supports SCIM 2.0</t>
        </is>
      </c>
      <c r="F194" s="1" t="inlineStr">
        <is>
          <t xml:space="preserve">1. Open Admin, Directory sync, click "Generate SCIM token"
2. Configure the IdP with the "SCIM endpoint" and token
3. Assign a user in the IdP, then unassign</t>
        </is>
      </c>
      <c r="G194" s="1" t="inlineStr">
        <is>
          <t xml:space="preserve">"Copy this token now. It will not be shown again." The user appears in People, then shows as suspended after unassign</t>
        </is>
      </c>
      <c r="H194" s="1" t="inlineStr">
        <is>
          <t xml:space="preserve">Low</t>
        </is>
      </c>
      <c r="I194" s="1"/>
      <c r="J194" s="5" t="inlineStr">
        <is>
          <t xml:space="preserve">Not Run</t>
        </is>
      </c>
      <c r="K194" s="5"/>
      <c r="L194" s="5"/>
      <c r="M194" s="5"/>
      <c r="N194" s="5"/>
    </row>
    <row r="195">
      <c r="A195" s="1" t="inlineStr">
        <is>
          <t xml:space="preserve">M22-05</t>
        </is>
      </c>
      <c r="B195" s="1" t="inlineStr">
        <is>
          <t xml:space="preserve">M22 Single sign-on and directory sync</t>
        </is>
      </c>
      <c r="C195" s="1" t="inlineStr">
        <is>
          <t xml:space="preserve">Require a second factor for everyone</t>
        </is>
      </c>
      <c r="D195" s="1" t="inlineStr">
        <is>
          <t xml:space="preserve">Admin, then Jonas</t>
        </is>
      </c>
      <c r="E195" s="1" t="inlineStr">
        <is>
          <t xml:space="preserve">None</t>
        </is>
      </c>
      <c r="F195" s="1" t="inlineStr">
        <is>
          <t xml:space="preserve">1. Tick "Require a second factor for everybody in this workspace" on Admin, General and save
2. Jonas signs in</t>
        </is>
      </c>
      <c r="G195" s="1" t="inlineStr">
        <is>
          <t xml:space="preserve">Jonas is asked to set up a second factor before continuing. Untick afterwards</t>
        </is>
      </c>
      <c r="H195" s="1" t="inlineStr">
        <is>
          <t xml:space="preserve">Medium</t>
        </is>
      </c>
      <c r="I195" s="1"/>
      <c r="J195" s="5" t="inlineStr">
        <is>
          <t xml:space="preserve">Not Run</t>
        </is>
      </c>
      <c r="K195" s="5"/>
      <c r="L195" s="5"/>
      <c r="M195" s="5"/>
      <c r="N195" s="5"/>
    </row>
    <row r="196">
      <c r="A196" s="3" t="inlineStr">
        <is>
          <t xml:space="preserve">M23 Import and export: Bring data in from spreadsheets and FlowyTeam, and take it out. Needs M07 first. About 30 min. Full workflow on the Module Guide sheet.</t>
        </is>
      </c>
      <c r="B196" s="3"/>
      <c r="C196" s="3"/>
      <c r="D196" s="3"/>
      <c r="E196" s="3"/>
      <c r="F196" s="3"/>
      <c r="G196" s="3"/>
      <c r="H196" s="3"/>
      <c r="I196" s="3"/>
      <c r="J196" s="3"/>
      <c r="K196" s="3"/>
      <c r="L196" s="3"/>
      <c r="M196" s="3"/>
      <c r="N196" s="3"/>
    </row>
    <row r="197">
      <c r="A197" s="1" t="inlineStr">
        <is>
          <t xml:space="preserve">M23-01</t>
        </is>
      </c>
      <c r="B197" s="1" t="inlineStr">
        <is>
          <t xml:space="preserve">M23 Import and export</t>
        </is>
      </c>
      <c r="C197" s="1" t="inlineStr">
        <is>
          <t xml:space="preserve">Import goals from a CSV</t>
        </is>
      </c>
      <c r="D197" s="1" t="inlineStr">
        <is>
          <t xml:space="preserve">Admin</t>
        </is>
      </c>
      <c r="E197" s="1" t="inlineStr">
        <is>
          <t xml:space="preserve">A CSV with 3 goals (title, level, champion email)</t>
        </is>
      </c>
      <c r="F197" s="1" t="inlineStr">
        <is>
          <t xml:space="preserve">1. Open Admin, Import
2. Pick goals in "What is in the file", choose the file, click "Read the file"
3. Map the columns and click "Preview"
4. Click "Import &lt;n&gt; rows"</t>
        </is>
      </c>
      <c r="G197" s="1" t="inlineStr">
        <is>
          <t xml:space="preserve">Preview counts Read, To create, To update, Skipped. After import: "Imported. Run the same file again and it writes nothing new." The goals are on the work map</t>
        </is>
      </c>
      <c r="H197" s="1" t="inlineStr">
        <is>
          <t xml:space="preserve">High</t>
        </is>
      </c>
      <c r="I197" s="1"/>
      <c r="J197" s="5" t="inlineStr">
        <is>
          <t xml:space="preserve">Not Run</t>
        </is>
      </c>
      <c r="K197" s="5"/>
      <c r="L197" s="5"/>
      <c r="M197" s="5"/>
      <c r="N197" s="5"/>
    </row>
    <row r="198">
      <c r="A198" s="1" t="inlineStr">
        <is>
          <t xml:space="preserve">M23-02</t>
        </is>
      </c>
      <c r="B198" s="1" t="inlineStr">
        <is>
          <t xml:space="preserve">M23 Import and export</t>
        </is>
      </c>
      <c r="C198" s="1" t="inlineStr">
        <is>
          <t xml:space="preserve">Importing the same file twice writes nothing</t>
        </is>
      </c>
      <c r="D198" s="1" t="inlineStr">
        <is>
          <t xml:space="preserve">Admin</t>
        </is>
      </c>
      <c r="E198" s="1" t="inlineStr">
        <is>
          <t xml:space="preserve">M23-01 done</t>
        </is>
      </c>
      <c r="F198" s="1" t="inlineStr">
        <is>
          <t xml:space="preserve">1. Import the same file again</t>
        </is>
      </c>
      <c r="G198" s="1" t="inlineStr">
        <is>
          <t xml:space="preserve">Preview shows 0 to create</t>
        </is>
      </c>
      <c r="H198" s="1" t="inlineStr">
        <is>
          <t xml:space="preserve">High</t>
        </is>
      </c>
      <c r="I198" s="1"/>
      <c r="J198" s="5" t="inlineStr">
        <is>
          <t xml:space="preserve">Not Run</t>
        </is>
      </c>
      <c r="K198" s="5"/>
      <c r="L198" s="5"/>
      <c r="M198" s="5"/>
      <c r="N198" s="5"/>
    </row>
    <row r="199">
      <c r="A199" s="1" t="inlineStr">
        <is>
          <t xml:space="preserve">M23-03</t>
        </is>
      </c>
      <c r="B199" s="1" t="inlineStr">
        <is>
          <t xml:space="preserve">M23 Import and export</t>
        </is>
      </c>
      <c r="C199" s="1" t="inlineStr">
        <is>
          <t xml:space="preserve">A bad row is reported, not dropped silently</t>
        </is>
      </c>
      <c r="D199" s="1" t="inlineStr">
        <is>
          <t xml:space="preserve">Admin</t>
        </is>
      </c>
      <c r="E199" s="1" t="inlineStr">
        <is>
          <t xml:space="preserve">A CSV with one row missing its title</t>
        </is>
      </c>
      <c r="F199" s="1" t="inlineStr">
        <is>
          <t xml:space="preserve">1. Import it</t>
        </is>
      </c>
      <c r="G199" s="1" t="inlineStr">
        <is>
          <t xml:space="preserve">That row is counted as Skipped with its reason</t>
        </is>
      </c>
      <c r="H199" s="1" t="inlineStr">
        <is>
          <t xml:space="preserve">Medium</t>
        </is>
      </c>
      <c r="I199" s="1"/>
      <c r="J199" s="5" t="inlineStr">
        <is>
          <t xml:space="preserve">Not Run</t>
        </is>
      </c>
      <c r="K199" s="5"/>
      <c r="L199" s="5"/>
      <c r="M199" s="5"/>
      <c r="N199" s="5"/>
    </row>
    <row r="200">
      <c r="A200" s="1" t="inlineStr">
        <is>
          <t xml:space="preserve">M23-04</t>
        </is>
      </c>
      <c r="B200" s="1" t="inlineStr">
        <is>
          <t xml:space="preserve">M23 Import and export</t>
        </is>
      </c>
      <c r="C200" s="1" t="inlineStr">
        <is>
          <t xml:space="preserve">Import KPI records from an xlsx file</t>
        </is>
      </c>
      <c r="D200" s="1" t="inlineStr">
        <is>
          <t xml:space="preserve">Admin</t>
        </is>
      </c>
      <c r="E200" s="1" t="inlineStr">
        <is>
          <t xml:space="preserve">An xlsx of KPI records</t>
        </is>
      </c>
      <c r="F200" s="1" t="inlineStr">
        <is>
          <t xml:space="preserve">1. Import with kpi-records</t>
        </is>
      </c>
      <c r="G200" s="1" t="inlineStr">
        <is>
          <t xml:space="preserve">Values appear in the KPI grid</t>
        </is>
      </c>
      <c r="H200" s="1" t="inlineStr">
        <is>
          <t xml:space="preserve">Low</t>
        </is>
      </c>
      <c r="I200" s="1"/>
      <c r="J200" s="5" t="inlineStr">
        <is>
          <t xml:space="preserve">Not Run</t>
        </is>
      </c>
      <c r="K200" s="5"/>
      <c r="L200" s="5"/>
      <c r="M200" s="5"/>
      <c r="N200" s="5"/>
    </row>
    <row r="201">
      <c r="A201" s="1" t="inlineStr">
        <is>
          <t xml:space="preserve">M23-05</t>
        </is>
      </c>
      <c r="B201" s="1" t="inlineStr">
        <is>
          <t xml:space="preserve">M23 Import and export</t>
        </is>
      </c>
      <c r="C201" s="1" t="inlineStr">
        <is>
          <t xml:space="preserve">Export the workspace</t>
        </is>
      </c>
      <c r="D201" s="1" t="inlineStr">
        <is>
          <t xml:space="preserve">Admin</t>
        </is>
      </c>
      <c r="E201" s="1" t="inlineStr">
        <is>
          <t xml:space="preserve">None</t>
        </is>
      </c>
      <c r="F201" s="1" t="inlineStr">
        <is>
          <t xml:space="preserve">1. On Admin, Import use "Export workspace" with "Include files"</t>
        </is>
      </c>
      <c r="G201" s="1" t="inlineStr">
        <is>
          <t xml:space="preserve">An archive file downloads</t>
        </is>
      </c>
      <c r="H201" s="1" t="inlineStr">
        <is>
          <t xml:space="preserve">Medium</t>
        </is>
      </c>
      <c r="I201" s="1"/>
      <c r="J201" s="5" t="inlineStr">
        <is>
          <t xml:space="preserve">Not Run</t>
        </is>
      </c>
      <c r="K201" s="5"/>
      <c r="L201" s="5"/>
      <c r="M201" s="5"/>
      <c r="N201" s="5"/>
    </row>
    <row r="202">
      <c r="A202" s="1" t="inlineStr">
        <is>
          <t xml:space="preserve">M23-06</t>
        </is>
      </c>
      <c r="B202" s="1" t="inlineStr">
        <is>
          <t xml:space="preserve">M23 Import and export</t>
        </is>
      </c>
      <c r="C202" s="1" t="inlineStr">
        <is>
          <t xml:space="preserve">FlowyTeam import from the command line</t>
        </is>
      </c>
      <c r="D202" s="1" t="inlineStr">
        <is>
          <t xml:space="preserve">Admin (server access)</t>
        </is>
      </c>
      <c r="E202" s="1" t="inlineStr">
        <is>
          <t xml:space="preserve">A FlowyTeam MySQL copy and the company id</t>
        </is>
      </c>
      <c r="F202" s="1" t="inlineStr">
        <is>
          <t xml:space="preserve">1. Run pnpm import:flowyteam with --source, --company, --workspace, --as, without --write
2. Read the dry-run report
3. Run again with --write
4. Open the work map and People</t>
        </is>
      </c>
      <c r="G202" s="1" t="inlineStr">
        <is>
          <t xml:space="preserve">The dry run writes nothing. The real run imports people, spaces, cycles, objectives and KPIs, visible in the UI</t>
        </is>
      </c>
      <c r="H202" s="1" t="inlineStr">
        <is>
          <t xml:space="preserve">Low</t>
        </is>
      </c>
      <c r="I202" s="1" t="inlineStr">
        <is>
          <t xml:space="preserve">Technical step. Skip unless a FlowyTeam source is available</t>
        </is>
      </c>
      <c r="J202" s="5" t="inlineStr">
        <is>
          <t xml:space="preserve">Not Run</t>
        </is>
      </c>
      <c r="K202" s="5"/>
      <c r="L202" s="5"/>
      <c r="M202" s="5"/>
      <c r="N202" s="5"/>
    </row>
    <row r="203">
      <c r="A203" s="3" t="inlineStr">
        <is>
          <t xml:space="preserve">M24 API tokens, CLI and external agents: Reach the product from scripts, the command line and outside AI agents. Needs M11 first. About 30 min. Full workflow on the Module Guide sheet.</t>
        </is>
      </c>
      <c r="B203" s="3"/>
      <c r="C203" s="3"/>
      <c r="D203" s="3"/>
      <c r="E203" s="3"/>
      <c r="F203" s="3"/>
      <c r="G203" s="3"/>
      <c r="H203" s="3"/>
      <c r="I203" s="3"/>
      <c r="J203" s="3"/>
      <c r="K203" s="3"/>
      <c r="L203" s="3"/>
      <c r="M203" s="3"/>
      <c r="N203" s="3"/>
    </row>
    <row r="204">
      <c r="A204" s="1" t="inlineStr">
        <is>
          <t xml:space="preserve">M24-01</t>
        </is>
      </c>
      <c r="B204" s="1" t="inlineStr">
        <is>
          <t xml:space="preserve">M24 API tokens, CLI and external agents</t>
        </is>
      </c>
      <c r="C204" s="1" t="inlineStr">
        <is>
          <t xml:space="preserve">Create and revoke an API token</t>
        </is>
      </c>
      <c r="D204" s="1" t="inlineStr">
        <is>
          <t xml:space="preserve">Sara</t>
        </is>
      </c>
      <c r="E204" s="1" t="inlineStr">
        <is>
          <t xml:space="preserve">None</t>
        </is>
      </c>
      <c r="F204" s="1" t="inlineStr">
        <is>
          <t xml:space="preserve">1. Open Account, API tokens
2. Click "Create token" with no name, then with no scope
3. Name Deploy script, scope Read, click "Create token"
4. Click "Revoke"</t>
        </is>
      </c>
      <c r="G204" s="1" t="inlineStr">
        <is>
          <t xml:space="preserve">"Give the token a name." and "Choose at least one scope, or the token could reach nothing." The token shows once, is listed, then revoked</t>
        </is>
      </c>
      <c r="H204" s="1" t="inlineStr">
        <is>
          <t xml:space="preserve">High</t>
        </is>
      </c>
      <c r="I204" s="1"/>
      <c r="J204" s="5" t="inlineStr">
        <is>
          <t xml:space="preserve">Not Run</t>
        </is>
      </c>
      <c r="K204" s="5"/>
      <c r="L204" s="5"/>
      <c r="M204" s="5"/>
      <c r="N204" s="5"/>
    </row>
    <row r="205">
      <c r="A205" s="1" t="inlineStr">
        <is>
          <t xml:space="preserve">M24-02</t>
        </is>
      </c>
      <c r="B205" s="1" t="inlineStr">
        <is>
          <t xml:space="preserve">M24 API tokens, CLI and external agents</t>
        </is>
      </c>
      <c r="C205" s="1" t="inlineStr">
        <is>
          <t xml:space="preserve">Use the token, then use it after revoking</t>
        </is>
      </c>
      <c r="D205" s="1" t="inlineStr">
        <is>
          <t xml:space="preserve">Sara (technical)</t>
        </is>
      </c>
      <c r="E205" s="1" t="inlineStr">
        <is>
          <t xml:space="preserve">A token from M24-01 before revoking</t>
        </is>
      </c>
      <c r="F205" s="1" t="inlineStr">
        <is>
          <t xml:space="preserve">1. Call a GET endpoint from docs/api/reference.md with the token
2. Revoke it and call again</t>
        </is>
      </c>
      <c r="G205" s="1" t="inlineStr">
        <is>
          <t xml:space="preserve">First call succeeds. After revoke it is refused</t>
        </is>
      </c>
      <c r="H205" s="1" t="inlineStr">
        <is>
          <t xml:space="preserve">Medium</t>
        </is>
      </c>
      <c r="I205" s="1"/>
      <c r="J205" s="5" t="inlineStr">
        <is>
          <t xml:space="preserve">Not Run</t>
        </is>
      </c>
      <c r="K205" s="5"/>
      <c r="L205" s="5"/>
      <c r="M205" s="5"/>
      <c r="N205" s="5"/>
    </row>
    <row r="206">
      <c r="A206" s="1" t="inlineStr">
        <is>
          <t xml:space="preserve">M24-03</t>
        </is>
      </c>
      <c r="B206" s="1" t="inlineStr">
        <is>
          <t xml:space="preserve">M24 API tokens, CLI and external agents</t>
        </is>
      </c>
      <c r="C206" s="1" t="inlineStr">
        <is>
          <t xml:space="preserve">Command-line login by device approval</t>
        </is>
      </c>
      <c r="D206" s="1" t="inlineStr">
        <is>
          <t xml:space="preserve">Sara (technical)</t>
        </is>
      </c>
      <c r="E206" s="1" t="inlineStr">
        <is>
          <t xml:space="preserve">The okr command line</t>
        </is>
      </c>
      <c r="F206" s="1" t="inlineStr">
        <is>
          <t xml:space="preserve">1. Run okr login --url &lt;instance&gt;
2. Open the printed link, check "Scopes it asked for"
3. Click "Authorise this terminal"
4. Repeat and click "Refuse"</t>
        </is>
      </c>
      <c r="G206" s="1" t="inlineStr">
        <is>
          <t xml:space="preserve">Authorise: the terminal prints Saved profile. Refuse: the login fails</t>
        </is>
      </c>
      <c r="H206" s="1" t="inlineStr">
        <is>
          <t xml:space="preserve">Medium</t>
        </is>
      </c>
      <c r="I206" s="1"/>
      <c r="J206" s="5" t="inlineStr">
        <is>
          <t xml:space="preserve">Not Run</t>
        </is>
      </c>
      <c r="K206" s="5"/>
      <c r="L206" s="5"/>
      <c r="M206" s="5"/>
      <c r="N206" s="5"/>
    </row>
    <row r="207">
      <c r="A207" s="1" t="inlineStr">
        <is>
          <t xml:space="preserve">M24-04</t>
        </is>
      </c>
      <c r="B207" s="1" t="inlineStr">
        <is>
          <t xml:space="preserve">M24 API tokens, CLI and external agents</t>
        </is>
      </c>
      <c r="C207" s="1" t="inlineStr">
        <is>
          <t xml:space="preserve">Connect an external AI agent (MCP)</t>
        </is>
      </c>
      <c r="D207" s="1" t="inlineStr">
        <is>
          <t xml:space="preserve">Sara</t>
        </is>
      </c>
      <c r="E207" s="1" t="inlineStr">
        <is>
          <t xml:space="preserve">An MCP client such as Claude Desktop, and a public HTTPS URL for the instance</t>
        </is>
      </c>
      <c r="F207" s="1" t="inlineStr">
        <is>
          <t xml:space="preserve">1. Add a remote MCP server &lt;instance&gt;/api/mcp
2. On "Connect an agent" pick the workspace and click "Connect"
3. Ask the agent to list my goals
4. Open Account, Connected agents and click "Revoke"</t>
        </is>
      </c>
      <c r="G207" s="1" t="inlineStr">
        <is>
          <t xml:space="preserve">The agent lists only goals Sara may see. After revoke it loses access</t>
        </is>
      </c>
      <c r="H207" s="1" t="inlineStr">
        <is>
          <t xml:space="preserve">Medium</t>
        </is>
      </c>
      <c r="I207" s="1"/>
      <c r="J207" s="5" t="inlineStr">
        <is>
          <t xml:space="preserve">Not Run</t>
        </is>
      </c>
      <c r="K207" s="5"/>
      <c r="L207" s="5"/>
      <c r="M207" s="5"/>
      <c r="N207" s="5"/>
    </row>
    <row r="208">
      <c r="A208" s="3" t="inlineStr">
        <is>
          <t xml:space="preserve">M25 Audit trail and workspace state: Check the audit trail recorded the sensitive actions from earlier modules. Needs M11 first. About 15 min. Full workflow on the Module Guide sheet.</t>
        </is>
      </c>
      <c r="B208" s="3"/>
      <c r="C208" s="3"/>
      <c r="D208" s="3"/>
      <c r="E208" s="3"/>
      <c r="F208" s="3"/>
      <c r="G208" s="3"/>
      <c r="H208" s="3"/>
      <c r="I208" s="3"/>
      <c r="J208" s="3"/>
      <c r="K208" s="3"/>
      <c r="L208" s="3"/>
      <c r="M208" s="3"/>
      <c r="N208" s="3"/>
    </row>
    <row r="209">
      <c r="A209" s="1" t="inlineStr">
        <is>
          <t xml:space="preserve">M25-01</t>
        </is>
      </c>
      <c r="B209" s="1" t="inlineStr">
        <is>
          <t xml:space="preserve">M25 Audit trail and workspace state</t>
        </is>
      </c>
      <c r="C209" s="1" t="inlineStr">
        <is>
          <t xml:space="preserve">The audit trail records sensitive actions</t>
        </is>
      </c>
      <c r="D209" s="1" t="inlineStr">
        <is>
          <t xml:space="preserve">Admin</t>
        </is>
      </c>
      <c r="E209" s="1" t="inlineStr">
        <is>
          <t xml:space="preserve">Earlier modules done (suspend, override publish)</t>
        </is>
      </c>
      <c r="F209" s="1" t="inlineStr">
        <is>
          <t xml:space="preserve">1. Open Admin, Audit trail
2. Filter "Action" by people.suspend</t>
        </is>
      </c>
      <c r="G209" s="1" t="inlineStr">
        <is>
          <t xml:space="preserve">The suspend of Tomas and the publish override are listed with who did them</t>
        </is>
      </c>
      <c r="H209" s="1" t="inlineStr">
        <is>
          <t xml:space="preserve">High</t>
        </is>
      </c>
      <c r="I209" s="1"/>
      <c r="J209" s="5" t="inlineStr">
        <is>
          <t xml:space="preserve">Not Run</t>
        </is>
      </c>
      <c r="K209" s="5"/>
      <c r="L209" s="5"/>
      <c r="M209" s="5"/>
      <c r="N209" s="5"/>
    </row>
    <row r="210">
      <c r="A210" s="1" t="inlineStr">
        <is>
          <t xml:space="preserve">M25-02</t>
        </is>
      </c>
      <c r="B210" s="1" t="inlineStr">
        <is>
          <t xml:space="preserve">M25 Audit trail and workspace state</t>
        </is>
      </c>
      <c r="C210" s="1" t="inlineStr">
        <is>
          <t xml:space="preserve">Verify the audit chain</t>
        </is>
      </c>
      <c r="D210" s="1" t="inlineStr">
        <is>
          <t xml:space="preserve">Admin</t>
        </is>
      </c>
      <c r="E210" s="1" t="inlineStr">
        <is>
          <t xml:space="preserve">None</t>
        </is>
      </c>
      <c r="F210" s="1" t="inlineStr">
        <is>
          <t xml:space="preserve">1. Click "Verify the audit chain"</t>
        </is>
      </c>
      <c r="G210" s="1" t="inlineStr">
        <is>
          <t xml:space="preserve">"The chain is intact. &lt;n&gt; rows checked"</t>
        </is>
      </c>
      <c r="H210" s="1" t="inlineStr">
        <is>
          <t xml:space="preserve">High</t>
        </is>
      </c>
      <c r="I210" s="1"/>
      <c r="J210" s="5" t="inlineStr">
        <is>
          <t xml:space="preserve">Not Run</t>
        </is>
      </c>
      <c r="K210" s="5"/>
      <c r="L210" s="5"/>
      <c r="M210" s="5"/>
      <c r="N210" s="5"/>
    </row>
    <row r="211">
      <c r="A211" s="1" t="inlineStr">
        <is>
          <t xml:space="preserve">M25-03</t>
        </is>
      </c>
      <c r="B211" s="1" t="inlineStr">
        <is>
          <t xml:space="preserve">M25 Audit trail and workspace state</t>
        </is>
      </c>
      <c r="C211" s="1" t="inlineStr">
        <is>
          <t xml:space="preserve">Export the audit trail</t>
        </is>
      </c>
      <c r="D211" s="1" t="inlineStr">
        <is>
          <t xml:space="preserve">Admin</t>
        </is>
      </c>
      <c r="E211" s="1" t="inlineStr">
        <is>
          <t xml:space="preserve">None</t>
        </is>
      </c>
      <c r="F211" s="1" t="inlineStr">
        <is>
          <t xml:space="preserve">1. Set From and To, click "Export as CSV"</t>
        </is>
      </c>
      <c r="G211" s="1" t="inlineStr">
        <is>
          <t xml:space="preserve">A CSV downloads. An empty range says "The export came back empty."</t>
        </is>
      </c>
      <c r="H211" s="1" t="inlineStr">
        <is>
          <t xml:space="preserve">Low</t>
        </is>
      </c>
      <c r="I211" s="1"/>
      <c r="J211" s="5" t="inlineStr">
        <is>
          <t xml:space="preserve">Not Run</t>
        </is>
      </c>
      <c r="K211" s="5"/>
      <c r="L211" s="5"/>
      <c r="M211" s="5"/>
      <c r="N211" s="5"/>
    </row>
    <row r="212">
      <c r="A212" s="1" t="inlineStr">
        <is>
          <t xml:space="preserve">M25-04</t>
        </is>
      </c>
      <c r="B212" s="1" t="inlineStr">
        <is>
          <t xml:space="preserve">M25 Audit trail and workspace state</t>
        </is>
      </c>
      <c r="C212" s="1" t="inlineStr">
        <is>
          <t xml:space="preserve">Read-only workspace</t>
        </is>
      </c>
      <c r="D212" s="1" t="inlineStr">
        <is>
          <t xml:space="preserve">Admin, then Sara</t>
        </is>
      </c>
      <c r="E212" s="1" t="inlineStr">
        <is>
          <t xml:space="preserve">None</t>
        </is>
      </c>
      <c r="F212" s="1" t="inlineStr">
        <is>
          <t xml:space="preserve">1. On Admin, General, card "State", click "Set to read only"
2. Sara tries to post a check-in
3. Admin clicks "Return to active"</t>
        </is>
      </c>
      <c r="G212" s="1" t="inlineStr">
        <is>
          <t xml:space="preserve">Sara can read but every write is refused with a message. After return to active, writes work</t>
        </is>
      </c>
      <c r="H212" s="1" t="inlineStr">
        <is>
          <t xml:space="preserve">Medium</t>
        </is>
      </c>
      <c r="I212" s="1"/>
      <c r="J212" s="5" t="inlineStr">
        <is>
          <t xml:space="preserve">Not Run</t>
        </is>
      </c>
      <c r="K212" s="5"/>
      <c r="L212" s="5"/>
      <c r="M212" s="5"/>
      <c r="N212" s="5"/>
    </row>
    <row r="213">
      <c r="A213" s="3" t="inlineStr">
        <is>
          <t xml:space="preserve">M26 Cloud operator console: Check the managed-cloud operator console. Needs M04 first. About 30 min. Full workflow on the Module Guide sheet.</t>
        </is>
      </c>
      <c r="B213" s="3"/>
      <c r="C213" s="3"/>
      <c r="D213" s="3"/>
      <c r="E213" s="3"/>
      <c r="F213" s="3"/>
      <c r="G213" s="3"/>
      <c r="H213" s="3"/>
      <c r="I213" s="3"/>
      <c r="J213" s="3"/>
      <c r="K213" s="3"/>
      <c r="L213" s="3"/>
      <c r="M213" s="3"/>
      <c r="N213" s="3"/>
    </row>
    <row r="214">
      <c r="A214" s="1" t="inlineStr">
        <is>
          <t xml:space="preserve">M26-01</t>
        </is>
      </c>
      <c r="B214" s="1" t="inlineStr">
        <is>
          <t xml:space="preserve">M26 Cloud operator console</t>
        </is>
      </c>
      <c r="C214" s="1" t="inlineStr">
        <is>
          <t xml:space="preserve">Operator console is off on a self-hosted instance</t>
        </is>
      </c>
      <c r="D214" s="1" t="inlineStr">
        <is>
          <t xml:space="preserve">Admin</t>
        </is>
      </c>
      <c r="E214" s="1" t="inlineStr">
        <is>
          <t xml:space="preserve">OPENOKR_CLOUD not set</t>
        </is>
      </c>
      <c r="F214" s="1" t="inlineStr">
        <is>
          <t xml:space="preserve">1. Open /operator and /admin/plan</t>
        </is>
      </c>
      <c r="G214" s="1" t="inlineStr">
        <is>
          <t xml:space="preserve">Both return Not Found</t>
        </is>
      </c>
      <c r="H214" s="1" t="inlineStr">
        <is>
          <t xml:space="preserve">Low</t>
        </is>
      </c>
      <c r="I214" s="1"/>
      <c r="J214" s="5" t="inlineStr">
        <is>
          <t xml:space="preserve">Not Run</t>
        </is>
      </c>
      <c r="K214" s="5"/>
      <c r="L214" s="5"/>
      <c r="M214" s="5"/>
      <c r="N214" s="5"/>
    </row>
    <row r="215">
      <c r="A215" s="1" t="inlineStr">
        <is>
          <t xml:space="preserve">M26-02</t>
        </is>
      </c>
      <c r="B215" s="1" t="inlineStr">
        <is>
          <t xml:space="preserve">M26 Cloud operator console</t>
        </is>
      </c>
      <c r="C215" s="1" t="inlineStr">
        <is>
          <t xml:space="preserve">Operator sees every workspace</t>
        </is>
      </c>
      <c r="D215" s="1" t="inlineStr">
        <is>
          <t xml:space="preserve">Operator</t>
        </is>
      </c>
      <c r="E215" s="1" t="inlineStr">
        <is>
          <t xml:space="preserve">OPENOKR_CLOUD=true and an operator granted with pnpm cloud:operator (docs/install/cloud.md)</t>
        </is>
      </c>
      <c r="F215" s="1" t="inlineStr">
        <is>
          <t xml:space="preserve">1. Open /operator</t>
        </is>
      </c>
      <c r="G215" s="1" t="inlineStr">
        <is>
          <t xml:space="preserve">Table with Workspace, State, Plan, Region, Members, Goals, Storage</t>
        </is>
      </c>
      <c r="H215" s="1" t="inlineStr">
        <is>
          <t xml:space="preserve">Low</t>
        </is>
      </c>
      <c r="I215" s="1" t="inlineStr">
        <is>
          <t xml:space="preserve">Technical setup. Skip unless testing the managed cloud</t>
        </is>
      </c>
      <c r="J215" s="5" t="inlineStr">
        <is>
          <t xml:space="preserve">Not Run</t>
        </is>
      </c>
      <c r="K215" s="5"/>
      <c r="L215" s="5"/>
      <c r="M215" s="5"/>
      <c r="N215" s="5"/>
    </row>
    <row r="216">
      <c r="A216" s="1" t="inlineStr">
        <is>
          <t xml:space="preserve">M26-03</t>
        </is>
      </c>
      <c r="B216" s="1" t="inlineStr">
        <is>
          <t xml:space="preserve">M26 Cloud operator console</t>
        </is>
      </c>
      <c r="C216" s="1" t="inlineStr">
        <is>
          <t xml:space="preserve">Suspend a workspace from the console</t>
        </is>
      </c>
      <c r="D216" s="1" t="inlineStr">
        <is>
          <t xml:space="preserve">Operator, then Sara</t>
        </is>
      </c>
      <c r="E216" s="1" t="inlineStr">
        <is>
          <t xml:space="preserve">M26-02 done</t>
        </is>
      </c>
      <c r="F216" s="1" t="inlineStr">
        <is>
          <t xml:space="preserve">1. Open the workspace, choose "Suspended", write a reason, click "Apply to Northwind Labs"
2. Sara tries to edit
3. Return it to Active</t>
        </is>
      </c>
      <c r="G216" s="1" t="inlineStr">
        <is>
          <t xml:space="preserve">Sara can read only while suspended</t>
        </is>
      </c>
      <c r="H216" s="1" t="inlineStr">
        <is>
          <t xml:space="preserve">Low</t>
        </is>
      </c>
      <c r="I216" s="1"/>
      <c r="J216" s="5" t="inlineStr">
        <is>
          <t xml:space="preserve">Not Run</t>
        </is>
      </c>
      <c r="K216" s="5"/>
      <c r="L216" s="5"/>
      <c r="M216" s="5"/>
      <c r="N216" s="5"/>
    </row>
    <row r="217">
      <c r="A217" s="1" t="inlineStr">
        <is>
          <t xml:space="preserve">M26-04</t>
        </is>
      </c>
      <c r="B217" s="1" t="inlineStr">
        <is>
          <t xml:space="preserve">M26 Cloud operator console</t>
        </is>
      </c>
      <c r="C217" s="1" t="inlineStr">
        <is>
          <t xml:space="preserve">Support access needs the admin's approval</t>
        </is>
      </c>
      <c r="D217" s="1" t="inlineStr">
        <is>
          <t xml:space="preserve">Operator, then Admin</t>
        </is>
      </c>
      <c r="E217" s="1" t="inlineStr">
        <is>
          <t xml:space="preserve">M26-02 done</t>
        </is>
      </c>
      <c r="F217" s="1" t="inlineStr">
        <is>
          <t xml:space="preserve">1. Operator writes "Why you need to be in there" and clicks "Ask to come in"
2. Admin opens Admin, Support access, picks Read only for 1 hour, clicks "Let them in"</t>
        </is>
      </c>
      <c r="G217" s="1" t="inlineStr">
        <is>
          <t xml:space="preserve">The request waits under "Waiting for you". After approval the operator can read the workspace for one hour</t>
        </is>
      </c>
      <c r="H217" s="1" t="inlineStr">
        <is>
          <t xml:space="preserve">Low</t>
        </is>
      </c>
      <c r="I217" s="1"/>
      <c r="J217" s="5" t="inlineStr">
        <is>
          <t xml:space="preserve">Not Run</t>
        </is>
      </c>
      <c r="K217" s="5"/>
      <c r="L217" s="5"/>
      <c r="M217" s="5"/>
      <c r="N217" s="5"/>
    </row>
    <row r="218">
      <c r="A218" s="1" t="inlineStr">
        <is>
          <t xml:space="preserve">M26-05</t>
        </is>
      </c>
      <c r="B218" s="1" t="inlineStr">
        <is>
          <t xml:space="preserve">M26 Cloud operator console</t>
        </is>
      </c>
      <c r="C218" s="1" t="inlineStr">
        <is>
          <t xml:space="preserve">Instance banner</t>
        </is>
      </c>
      <c r="D218" s="1" t="inlineStr">
        <is>
          <t xml:space="preserve">Operator</t>
        </is>
      </c>
      <c r="E218" s="1" t="inlineStr">
        <is>
          <t xml:space="preserve">M26-02 done</t>
        </is>
      </c>
      <c r="F218" s="1" t="inlineStr">
        <is>
          <t xml:space="preserve">1. On /operator/instance, "Say something": message, Tone Warning, a stop time, "People can dismiss it"
2. Click "Show this message"
3. Sara opens the app and dismisses it</t>
        </is>
      </c>
      <c r="G218" s="1" t="inlineStr">
        <is>
          <t xml:space="preserve">Every user sees the banner. Dismissing hides it for Sara</t>
        </is>
      </c>
      <c r="H218" s="1" t="inlineStr">
        <is>
          <t xml:space="preserve">Low</t>
        </is>
      </c>
      <c r="I218" s="1"/>
      <c r="J218" s="5" t="inlineStr">
        <is>
          <t xml:space="preserve">Not Run</t>
        </is>
      </c>
      <c r="K218" s="5"/>
      <c r="L218" s="5"/>
      <c r="M218" s="5"/>
      <c r="N218" s="5"/>
    </row>
    <row r="219">
      <c r="A219" s="1" t="inlineStr">
        <is>
          <t xml:space="preserve">M26-06</t>
        </is>
      </c>
      <c r="B219" s="1" t="inlineStr">
        <is>
          <t xml:space="preserve">M26 Cloud operator console</t>
        </is>
      </c>
      <c r="C219" s="1" t="inlineStr">
        <is>
          <t xml:space="preserve">Operator sets a plan, and a downgrade below the headcount is refused</t>
        </is>
      </c>
      <c r="D219" s="1" t="inlineStr">
        <is>
          <t xml:space="preserve">Operator</t>
        </is>
      </c>
      <c r="E219" s="1" t="inlineStr">
        <is>
          <t xml:space="preserve">M26-02 done, and cloud.plans holds a plan with fewer seats than Northwind Labs has people</t>
        </is>
      </c>
      <c r="F219" s="1" t="inlineStr">
        <is>
          <t xml:space="preserve">1. Open the workspace, under "Plan and seats" pick the small plan, write a reason, click "Set the plan for Northwind Labs"
2. Pick a larger plan, or type a seat count above the headcount, and apply again</t>
        </is>
      </c>
      <c r="G219" s="1" t="inlineStr">
        <is>
          <t xml:space="preserve">The first is refused naming the seats the plan has and the seats in use. The second is applied and the Tenant facts show the new plan and seats</t>
        </is>
      </c>
      <c r="H219" s="1" t="inlineStr">
        <is>
          <t xml:space="preserve">Low</t>
        </is>
      </c>
      <c r="I219" s="1"/>
      <c r="J219" s="5" t="inlineStr">
        <is>
          <t xml:space="preserve">Not Run</t>
        </is>
      </c>
      <c r="K219" s="5"/>
      <c r="L219" s="5"/>
      <c r="M219" s="5"/>
      <c r="N219" s="5"/>
    </row>
    <row r="220">
      <c r="A220" s="1" t="inlineStr">
        <is>
          <t xml:space="preserve">M26-07</t>
        </is>
      </c>
      <c r="B220" s="1" t="inlineStr">
        <is>
          <t xml:space="preserve">M26 Cloud operator console</t>
        </is>
      </c>
      <c r="C220" s="1" t="inlineStr">
        <is>
          <t xml:space="preserve">Administrator sees who holds a seat and changes plan</t>
        </is>
      </c>
      <c r="D220" s="1" t="inlineStr">
        <is>
          <t xml:space="preserve">Admin</t>
        </is>
      </c>
      <c r="E220" s="1" t="inlineStr">
        <is>
          <t xml:space="preserve">M26-07 done</t>
        </is>
      </c>
      <c r="F220" s="1" t="inlineStr">
        <is>
          <t xml:space="preserve">1. Open Admin, Plan and seats
2. Read the list under "Who holds a seat"
3. Under "Move to" pick another plan and click "Change plan"</t>
        </is>
      </c>
      <c r="G220" s="1" t="inlineStr">
        <is>
          <t xml:space="preserve">The list names every person and invitation the seat count counts, and no guest or agent. The plan changes, or is refused naming both numbers when it has too few seats</t>
        </is>
      </c>
      <c r="H220" s="1" t="inlineStr">
        <is>
          <t xml:space="preserve">Low</t>
        </is>
      </c>
      <c r="I220" s="1"/>
      <c r="J220" s="5" t="inlineStr">
        <is>
          <t xml:space="preserve">Not Run</t>
        </is>
      </c>
      <c r="K220" s="5"/>
      <c r="L220" s="5"/>
      <c r="M220" s="5"/>
      <c r="N220" s="5"/>
    </row>
  </sheetData>
  <autoFilter ref="A1:N220"/>
  <conditionalFormatting sqref="J2:J220">
    <cfRule type="containsText" dxfId="0" priority="1" operator="containsText" text="Pass">
      <formula>NOT(ISERROR(SEARCH("Pass",J2)))</formula>
    </cfRule>
    <cfRule type="containsText" dxfId="1" priority="2" operator="containsText" text="Fail">
      <formula>NOT(ISERROR(SEARCH("Fail",J2)))</formula>
    </cfRule>
    <cfRule type="containsText" dxfId="2" priority="3" operator="containsText" text="Error">
      <formula>NOT(ISERROR(SEARCH("Error",J2)))</formula>
    </cfRule>
    <cfRule type="containsText" dxfId="3" priority="4" operator="containsText" text="Blocked">
      <formula>NOT(ISERROR(SEARCH("Blocked",J2)))</formula>
    </cfRule>
    <cfRule type="containsText" dxfId="4" priority="5" operator="containsText" text="N/A">
      <formula>NOT(ISERROR(SEARCH("N/A",J2)))</formula>
    </cfRule>
  </conditionalFormatting>
  <dataValidations count="2">
    <dataValidation type="list" allowBlank="1" showErrorMessage="1" sqref="J2:J220">
      <formula1>"Not Run,Pass,Fail,Error,Blocked,N/A"</formula1>
    </dataValidation>
    <dataValidation type="list" allowBlank="1" showErrorMessage="1" sqref="H2:H220">
      <formula1>"High,Medium,Low"</formula1>
    </dataValidation>
  </dataValidations>
  <pageMargins left="0.4" right="0.4" top="0.5" bottom="0.5" header="0.3" footer="0.3"/>
  <pageSetup orientation="landscape" fitToWidth="1" fitToHeight="0"/>
</worksheet>
</file>

<file path=xl/worksheets/sheet6.xml><?xml version="1.0" encoding="utf-8"?>
<worksheet xmlns="http://schemas.openxmlformats.org/spreadsheetml/2006/main" xmlns:r="http://schemas.openxmlformats.org/officeDocument/2006/relationships">
  <sheetViews>
    <sheetView workbookViewId="0" zoomScale="100">
      <pane ySplit="1" topLeftCell="A2" activePane="bottomLeft" state="frozen"/>
    </sheetView>
  </sheetViews>
  <cols>
    <col min="1" max="1" width="9" customWidth="1"/>
    <col min="2" max="2" width="9" customWidth="1"/>
    <col min="3" max="3" width="22" customWidth="1"/>
    <col min="4" max="4" width="32" customWidth="1"/>
    <col min="5" max="5" width="10" customWidth="1"/>
    <col min="6" max="6" width="40" customWidth="1"/>
    <col min="7" max="7" width="30" customWidth="1"/>
    <col min="8" max="8" width="30" customWidth="1"/>
    <col min="9" max="9" width="26" customWidth="1"/>
    <col min="10" max="10" width="18" customWidth="1"/>
    <col min="11" max="11" width="14" customWidth="1"/>
    <col min="12" max="12" width="11" customWidth="1"/>
    <col min="13" max="13" width="10" customWidth="1"/>
  </cols>
  <sheetData>
    <row r="1" ht="30" customHeight="1">
      <c r="A1" s="2" t="inlineStr">
        <is>
          <t xml:space="preserve">Bug ID</t>
        </is>
      </c>
      <c r="B1" s="2" t="inlineStr">
        <is>
          <t xml:space="preserve">Test ID</t>
        </is>
      </c>
      <c r="C1" s="2" t="inlineStr">
        <is>
          <t xml:space="preserve">Module</t>
        </is>
      </c>
      <c r="D1" s="2" t="inlineStr">
        <is>
          <t xml:space="preserve">Title</t>
        </is>
      </c>
      <c r="E1" s="2" t="inlineStr">
        <is>
          <t xml:space="preserve">Severity</t>
        </is>
      </c>
      <c r="F1" s="2" t="inlineStr">
        <is>
          <t xml:space="preserve">Steps to reproduce</t>
        </is>
      </c>
      <c r="G1" s="2" t="inlineStr">
        <is>
          <t xml:space="preserve">Expected</t>
        </is>
      </c>
      <c r="H1" s="2" t="inlineStr">
        <is>
          <t xml:space="preserve">Actual</t>
        </is>
      </c>
      <c r="I1" s="2" t="inlineStr">
        <is>
          <t xml:space="preserve">Screenshot or video link</t>
        </is>
      </c>
      <c r="J1" s="2" t="inlineStr">
        <is>
          <t xml:space="preserve">Browser and device</t>
        </is>
      </c>
      <c r="K1" s="2" t="inlineStr">
        <is>
          <t xml:space="preserve">Reported by</t>
        </is>
      </c>
      <c r="L1" s="2" t="inlineStr">
        <is>
          <t xml:space="preserve">Date</t>
        </is>
      </c>
      <c r="M1" s="2" t="inlineStr">
        <is>
          <t xml:space="preserve">Status</t>
        </is>
      </c>
    </row>
    <row r="2">
      <c r="A2" s="11" t="inlineStr">
        <is>
          <t xml:space="preserve">BUG-001</t>
        </is>
      </c>
      <c r="B2" s="11" t="inlineStr">
        <is>
          <t xml:space="preserve">M09-03</t>
        </is>
      </c>
      <c r="C2" s="11" t="inlineStr">
        <is>
          <t xml:space="preserve">M09 Drafting OKRs and quality checks</t>
        </is>
      </c>
      <c r="D2" s="11" t="inlineStr">
        <is>
          <t xml:space="preserve">Example row, replace it: OBJ-1 chip missing</t>
        </is>
      </c>
      <c r="E2" s="11" t="inlineStr">
        <is>
          <t xml:space="preserve">Major</t>
        </is>
      </c>
      <c r="F2" s="11" t="inlineStr">
        <is>
          <t xml:space="preserve">1. Open Cycle, phase 4
2. Type Launch the new onboarding flow</t>
        </is>
      </c>
      <c r="G2" s="11" t="inlineStr">
        <is>
          <t xml:space="preserve">OBJ-1 chip shows</t>
        </is>
      </c>
      <c r="H2" s="11" t="inlineStr">
        <is>
          <t xml:space="preserve">No chip, meter stays green</t>
        </is>
      </c>
      <c r="I2" s="11" t="inlineStr">
        <is>
          <t xml:space="preserve">https://link-to-screenshot</t>
        </is>
      </c>
      <c r="J2" s="11" t="inlineStr">
        <is>
          <t xml:space="preserve">Chrome 140, Windows 11</t>
        </is>
      </c>
      <c r="K2" s="11" t="inlineStr">
        <is>
          <t xml:space="preserve">Tester name</t>
        </is>
      </c>
      <c r="L2" s="11" t="inlineStr">
        <is>
          <t xml:space="preserve">2026-09-25</t>
        </is>
      </c>
      <c r="M2" s="11" t="inlineStr">
        <is>
          <t xml:space="preserve">Open</t>
        </is>
      </c>
    </row>
    <row r="3">
      <c r="A3" s="5"/>
      <c r="B3" s="5"/>
      <c r="C3" s="5"/>
      <c r="D3" s="5"/>
      <c r="E3" s="5"/>
      <c r="F3" s="5"/>
      <c r="G3" s="5"/>
      <c r="H3" s="5"/>
      <c r="I3" s="5"/>
      <c r="J3" s="5"/>
      <c r="K3" s="5"/>
      <c r="L3" s="5"/>
      <c r="M3" s="5"/>
    </row>
    <row r="4">
      <c r="A4" s="5"/>
      <c r="B4" s="5"/>
      <c r="C4" s="5"/>
      <c r="D4" s="5"/>
      <c r="E4" s="5"/>
      <c r="F4" s="5"/>
      <c r="G4" s="5"/>
      <c r="H4" s="5"/>
      <c r="I4" s="5"/>
      <c r="J4" s="5"/>
      <c r="K4" s="5"/>
      <c r="L4" s="5"/>
      <c r="M4" s="5"/>
    </row>
    <row r="5">
      <c r="A5" s="5"/>
      <c r="B5" s="5"/>
      <c r="C5" s="5"/>
      <c r="D5" s="5"/>
      <c r="E5" s="5"/>
      <c r="F5" s="5"/>
      <c r="G5" s="5"/>
      <c r="H5" s="5"/>
      <c r="I5" s="5"/>
      <c r="J5" s="5"/>
      <c r="K5" s="5"/>
      <c r="L5" s="5"/>
      <c r="M5" s="5"/>
    </row>
    <row r="6">
      <c r="A6" s="5"/>
      <c r="B6" s="5"/>
      <c r="C6" s="5"/>
      <c r="D6" s="5"/>
      <c r="E6" s="5"/>
      <c r="F6" s="5"/>
      <c r="G6" s="5"/>
      <c r="H6" s="5"/>
      <c r="I6" s="5"/>
      <c r="J6" s="5"/>
      <c r="K6" s="5"/>
      <c r="L6" s="5"/>
      <c r="M6" s="5"/>
    </row>
    <row r="7">
      <c r="A7" s="5"/>
      <c r="B7" s="5"/>
      <c r="C7" s="5"/>
      <c r="D7" s="5"/>
      <c r="E7" s="5"/>
      <c r="F7" s="5"/>
      <c r="G7" s="5"/>
      <c r="H7" s="5"/>
      <c r="I7" s="5"/>
      <c r="J7" s="5"/>
      <c r="K7" s="5"/>
      <c r="L7" s="5"/>
      <c r="M7" s="5"/>
    </row>
    <row r="8">
      <c r="A8" s="5"/>
      <c r="B8" s="5"/>
      <c r="C8" s="5"/>
      <c r="D8" s="5"/>
      <c r="E8" s="5"/>
      <c r="F8" s="5"/>
      <c r="G8" s="5"/>
      <c r="H8" s="5"/>
      <c r="I8" s="5"/>
      <c r="J8" s="5"/>
      <c r="K8" s="5"/>
      <c r="L8" s="5"/>
      <c r="M8" s="5"/>
    </row>
    <row r="9">
      <c r="A9" s="5"/>
      <c r="B9" s="5"/>
      <c r="C9" s="5"/>
      <c r="D9" s="5"/>
      <c r="E9" s="5"/>
      <c r="F9" s="5"/>
      <c r="G9" s="5"/>
      <c r="H9" s="5"/>
      <c r="I9" s="5"/>
      <c r="J9" s="5"/>
      <c r="K9" s="5"/>
      <c r="L9" s="5"/>
      <c r="M9" s="5"/>
    </row>
    <row r="10">
      <c r="A10" s="5"/>
      <c r="B10" s="5"/>
      <c r="C10" s="5"/>
      <c r="D10" s="5"/>
      <c r="E10" s="5"/>
      <c r="F10" s="5"/>
      <c r="G10" s="5"/>
      <c r="H10" s="5"/>
      <c r="I10" s="5"/>
      <c r="J10" s="5"/>
      <c r="K10" s="5"/>
      <c r="L10" s="5"/>
      <c r="M10" s="5"/>
    </row>
    <row r="11">
      <c r="A11" s="5"/>
      <c r="B11" s="5"/>
      <c r="C11" s="5"/>
      <c r="D11" s="5"/>
      <c r="E11" s="5"/>
      <c r="F11" s="5"/>
      <c r="G11" s="5"/>
      <c r="H11" s="5"/>
      <c r="I11" s="5"/>
      <c r="J11" s="5"/>
      <c r="K11" s="5"/>
      <c r="L11" s="5"/>
      <c r="M11" s="5"/>
    </row>
    <row r="12">
      <c r="A12" s="5"/>
      <c r="B12" s="5"/>
      <c r="C12" s="5"/>
      <c r="D12" s="5"/>
      <c r="E12" s="5"/>
      <c r="F12" s="5"/>
      <c r="G12" s="5"/>
      <c r="H12" s="5"/>
      <c r="I12" s="5"/>
      <c r="J12" s="5"/>
      <c r="K12" s="5"/>
      <c r="L12" s="5"/>
      <c r="M12" s="5"/>
    </row>
    <row r="13">
      <c r="A13" s="5"/>
      <c r="B13" s="5"/>
      <c r="C13" s="5"/>
      <c r="D13" s="5"/>
      <c r="E13" s="5"/>
      <c r="F13" s="5"/>
      <c r="G13" s="5"/>
      <c r="H13" s="5"/>
      <c r="I13" s="5"/>
      <c r="J13" s="5"/>
      <c r="K13" s="5"/>
      <c r="L13" s="5"/>
      <c r="M13" s="5"/>
    </row>
    <row r="14">
      <c r="A14" s="5"/>
      <c r="B14" s="5"/>
      <c r="C14" s="5"/>
      <c r="D14" s="5"/>
      <c r="E14" s="5"/>
      <c r="F14" s="5"/>
      <c r="G14" s="5"/>
      <c r="H14" s="5"/>
      <c r="I14" s="5"/>
      <c r="J14" s="5"/>
      <c r="K14" s="5"/>
      <c r="L14" s="5"/>
      <c r="M14" s="5"/>
    </row>
    <row r="15">
      <c r="A15" s="5"/>
      <c r="B15" s="5"/>
      <c r="C15" s="5"/>
      <c r="D15" s="5"/>
      <c r="E15" s="5"/>
      <c r="F15" s="5"/>
      <c r="G15" s="5"/>
      <c r="H15" s="5"/>
      <c r="I15" s="5"/>
      <c r="J15" s="5"/>
      <c r="K15" s="5"/>
      <c r="L15" s="5"/>
      <c r="M15" s="5"/>
    </row>
    <row r="16">
      <c r="A16" s="5"/>
      <c r="B16" s="5"/>
      <c r="C16" s="5"/>
      <c r="D16" s="5"/>
      <c r="E16" s="5"/>
      <c r="F16" s="5"/>
      <c r="G16" s="5"/>
      <c r="H16" s="5"/>
      <c r="I16" s="5"/>
      <c r="J16" s="5"/>
      <c r="K16" s="5"/>
      <c r="L16" s="5"/>
      <c r="M16" s="5"/>
    </row>
    <row r="17">
      <c r="A17" s="5"/>
      <c r="B17" s="5"/>
      <c r="C17" s="5"/>
      <c r="D17" s="5"/>
      <c r="E17" s="5"/>
      <c r="F17" s="5"/>
      <c r="G17" s="5"/>
      <c r="H17" s="5"/>
      <c r="I17" s="5"/>
      <c r="J17" s="5"/>
      <c r="K17" s="5"/>
      <c r="L17" s="5"/>
      <c r="M17" s="5"/>
    </row>
    <row r="18">
      <c r="A18" s="5"/>
      <c r="B18" s="5"/>
      <c r="C18" s="5"/>
      <c r="D18" s="5"/>
      <c r="E18" s="5"/>
      <c r="F18" s="5"/>
      <c r="G18" s="5"/>
      <c r="H18" s="5"/>
      <c r="I18" s="5"/>
      <c r="J18" s="5"/>
      <c r="K18" s="5"/>
      <c r="L18" s="5"/>
      <c r="M18" s="5"/>
    </row>
    <row r="19">
      <c r="A19" s="5"/>
      <c r="B19" s="5"/>
      <c r="C19" s="5"/>
      <c r="D19" s="5"/>
      <c r="E19" s="5"/>
      <c r="F19" s="5"/>
      <c r="G19" s="5"/>
      <c r="H19" s="5"/>
      <c r="I19" s="5"/>
      <c r="J19" s="5"/>
      <c r="K19" s="5"/>
      <c r="L19" s="5"/>
      <c r="M19" s="5"/>
    </row>
    <row r="20">
      <c r="A20" s="5"/>
      <c r="B20" s="5"/>
      <c r="C20" s="5"/>
      <c r="D20" s="5"/>
      <c r="E20" s="5"/>
      <c r="F20" s="5"/>
      <c r="G20" s="5"/>
      <c r="H20" s="5"/>
      <c r="I20" s="5"/>
      <c r="J20" s="5"/>
      <c r="K20" s="5"/>
      <c r="L20" s="5"/>
      <c r="M20" s="5"/>
    </row>
    <row r="21">
      <c r="A21" s="5"/>
      <c r="B21" s="5"/>
      <c r="C21" s="5"/>
      <c r="D21" s="5"/>
      <c r="E21" s="5"/>
      <c r="F21" s="5"/>
      <c r="G21" s="5"/>
      <c r="H21" s="5"/>
      <c r="I21" s="5"/>
      <c r="J21" s="5"/>
      <c r="K21" s="5"/>
      <c r="L21" s="5"/>
      <c r="M21" s="5"/>
    </row>
    <row r="22">
      <c r="A22" s="5"/>
      <c r="B22" s="5"/>
      <c r="C22" s="5"/>
      <c r="D22" s="5"/>
      <c r="E22" s="5"/>
      <c r="F22" s="5"/>
      <c r="G22" s="5"/>
      <c r="H22" s="5"/>
      <c r="I22" s="5"/>
      <c r="J22" s="5"/>
      <c r="K22" s="5"/>
      <c r="L22" s="5"/>
      <c r="M22" s="5"/>
    </row>
    <row r="23">
      <c r="A23" s="5"/>
      <c r="B23" s="5"/>
      <c r="C23" s="5"/>
      <c r="D23" s="5"/>
      <c r="E23" s="5"/>
      <c r="F23" s="5"/>
      <c r="G23" s="5"/>
      <c r="H23" s="5"/>
      <c r="I23" s="5"/>
      <c r="J23" s="5"/>
      <c r="K23" s="5"/>
      <c r="L23" s="5"/>
      <c r="M23" s="5"/>
    </row>
    <row r="24">
      <c r="A24" s="5"/>
      <c r="B24" s="5"/>
      <c r="C24" s="5"/>
      <c r="D24" s="5"/>
      <c r="E24" s="5"/>
      <c r="F24" s="5"/>
      <c r="G24" s="5"/>
      <c r="H24" s="5"/>
      <c r="I24" s="5"/>
      <c r="J24" s="5"/>
      <c r="K24" s="5"/>
      <c r="L24" s="5"/>
      <c r="M24" s="5"/>
    </row>
    <row r="25">
      <c r="A25" s="5"/>
      <c r="B25" s="5"/>
      <c r="C25" s="5"/>
      <c r="D25" s="5"/>
      <c r="E25" s="5"/>
      <c r="F25" s="5"/>
      <c r="G25" s="5"/>
      <c r="H25" s="5"/>
      <c r="I25" s="5"/>
      <c r="J25" s="5"/>
      <c r="K25" s="5"/>
      <c r="L25" s="5"/>
      <c r="M25" s="5"/>
    </row>
    <row r="26">
      <c r="A26" s="5"/>
      <c r="B26" s="5"/>
      <c r="C26" s="5"/>
      <c r="D26" s="5"/>
      <c r="E26" s="5"/>
      <c r="F26" s="5"/>
      <c r="G26" s="5"/>
      <c r="H26" s="5"/>
      <c r="I26" s="5"/>
      <c r="J26" s="5"/>
      <c r="K26" s="5"/>
      <c r="L26" s="5"/>
      <c r="M26" s="5"/>
    </row>
    <row r="27">
      <c r="A27" s="5"/>
      <c r="B27" s="5"/>
      <c r="C27" s="5"/>
      <c r="D27" s="5"/>
      <c r="E27" s="5"/>
      <c r="F27" s="5"/>
      <c r="G27" s="5"/>
      <c r="H27" s="5"/>
      <c r="I27" s="5"/>
      <c r="J27" s="5"/>
      <c r="K27" s="5"/>
      <c r="L27" s="5"/>
      <c r="M27" s="5"/>
    </row>
    <row r="28">
      <c r="A28" s="5"/>
      <c r="B28" s="5"/>
      <c r="C28" s="5"/>
      <c r="D28" s="5"/>
      <c r="E28" s="5"/>
      <c r="F28" s="5"/>
      <c r="G28" s="5"/>
      <c r="H28" s="5"/>
      <c r="I28" s="5"/>
      <c r="J28" s="5"/>
      <c r="K28" s="5"/>
      <c r="L28" s="5"/>
      <c r="M28" s="5"/>
    </row>
    <row r="29">
      <c r="A29" s="5"/>
      <c r="B29" s="5"/>
      <c r="C29" s="5"/>
      <c r="D29" s="5"/>
      <c r="E29" s="5"/>
      <c r="F29" s="5"/>
      <c r="G29" s="5"/>
      <c r="H29" s="5"/>
      <c r="I29" s="5"/>
      <c r="J29" s="5"/>
      <c r="K29" s="5"/>
      <c r="L29" s="5"/>
      <c r="M29" s="5"/>
    </row>
    <row r="30">
      <c r="A30" s="5"/>
      <c r="B30" s="5"/>
      <c r="C30" s="5"/>
      <c r="D30" s="5"/>
      <c r="E30" s="5"/>
      <c r="F30" s="5"/>
      <c r="G30" s="5"/>
      <c r="H30" s="5"/>
      <c r="I30" s="5"/>
      <c r="J30" s="5"/>
      <c r="K30" s="5"/>
      <c r="L30" s="5"/>
      <c r="M30" s="5"/>
    </row>
    <row r="31">
      <c r="A31" s="5"/>
      <c r="B31" s="5"/>
      <c r="C31" s="5"/>
      <c r="D31" s="5"/>
      <c r="E31" s="5"/>
      <c r="F31" s="5"/>
      <c r="G31" s="5"/>
      <c r="H31" s="5"/>
      <c r="I31" s="5"/>
      <c r="J31" s="5"/>
      <c r="K31" s="5"/>
      <c r="L31" s="5"/>
      <c r="M31" s="5"/>
    </row>
    <row r="32">
      <c r="A32" s="5"/>
      <c r="B32" s="5"/>
      <c r="C32" s="5"/>
      <c r="D32" s="5"/>
      <c r="E32" s="5"/>
      <c r="F32" s="5"/>
      <c r="G32" s="5"/>
      <c r="H32" s="5"/>
      <c r="I32" s="5"/>
      <c r="J32" s="5"/>
      <c r="K32" s="5"/>
      <c r="L32" s="5"/>
      <c r="M32" s="5"/>
    </row>
    <row r="33">
      <c r="A33" s="5"/>
      <c r="B33" s="5"/>
      <c r="C33" s="5"/>
      <c r="D33" s="5"/>
      <c r="E33" s="5"/>
      <c r="F33" s="5"/>
      <c r="G33" s="5"/>
      <c r="H33" s="5"/>
      <c r="I33" s="5"/>
      <c r="J33" s="5"/>
      <c r="K33" s="5"/>
      <c r="L33" s="5"/>
      <c r="M33" s="5"/>
    </row>
    <row r="34">
      <c r="A34" s="5"/>
      <c r="B34" s="5"/>
      <c r="C34" s="5"/>
      <c r="D34" s="5"/>
      <c r="E34" s="5"/>
      <c r="F34" s="5"/>
      <c r="G34" s="5"/>
      <c r="H34" s="5"/>
      <c r="I34" s="5"/>
      <c r="J34" s="5"/>
      <c r="K34" s="5"/>
      <c r="L34" s="5"/>
      <c r="M34" s="5"/>
    </row>
    <row r="35">
      <c r="A35" s="5"/>
      <c r="B35" s="5"/>
      <c r="C35" s="5"/>
      <c r="D35" s="5"/>
      <c r="E35" s="5"/>
      <c r="F35" s="5"/>
      <c r="G35" s="5"/>
      <c r="H35" s="5"/>
      <c r="I35" s="5"/>
      <c r="J35" s="5"/>
      <c r="K35" s="5"/>
      <c r="L35" s="5"/>
      <c r="M35" s="5"/>
    </row>
    <row r="36">
      <c r="A36" s="5"/>
      <c r="B36" s="5"/>
      <c r="C36" s="5"/>
      <c r="D36" s="5"/>
      <c r="E36" s="5"/>
      <c r="F36" s="5"/>
      <c r="G36" s="5"/>
      <c r="H36" s="5"/>
      <c r="I36" s="5"/>
      <c r="J36" s="5"/>
      <c r="K36" s="5"/>
      <c r="L36" s="5"/>
      <c r="M36" s="5"/>
    </row>
    <row r="37">
      <c r="A37" s="5"/>
      <c r="B37" s="5"/>
      <c r="C37" s="5"/>
      <c r="D37" s="5"/>
      <c r="E37" s="5"/>
      <c r="F37" s="5"/>
      <c r="G37" s="5"/>
      <c r="H37" s="5"/>
      <c r="I37" s="5"/>
      <c r="J37" s="5"/>
      <c r="K37" s="5"/>
      <c r="L37" s="5"/>
      <c r="M37" s="5"/>
    </row>
    <row r="38">
      <c r="A38" s="5"/>
      <c r="B38" s="5"/>
      <c r="C38" s="5"/>
      <c r="D38" s="5"/>
      <c r="E38" s="5"/>
      <c r="F38" s="5"/>
      <c r="G38" s="5"/>
      <c r="H38" s="5"/>
      <c r="I38" s="5"/>
      <c r="J38" s="5"/>
      <c r="K38" s="5"/>
      <c r="L38" s="5"/>
      <c r="M38" s="5"/>
    </row>
    <row r="39">
      <c r="A39" s="5"/>
      <c r="B39" s="5"/>
      <c r="C39" s="5"/>
      <c r="D39" s="5"/>
      <c r="E39" s="5"/>
      <c r="F39" s="5"/>
      <c r="G39" s="5"/>
      <c r="H39" s="5"/>
      <c r="I39" s="5"/>
      <c r="J39" s="5"/>
      <c r="K39" s="5"/>
      <c r="L39" s="5"/>
      <c r="M39" s="5"/>
    </row>
    <row r="40">
      <c r="A40" s="5"/>
      <c r="B40" s="5"/>
      <c r="C40" s="5"/>
      <c r="D40" s="5"/>
      <c r="E40" s="5"/>
      <c r="F40" s="5"/>
      <c r="G40" s="5"/>
      <c r="H40" s="5"/>
      <c r="I40" s="5"/>
      <c r="J40" s="5"/>
      <c r="K40" s="5"/>
      <c r="L40" s="5"/>
      <c r="M40" s="5"/>
    </row>
    <row r="41">
      <c r="A41" s="5"/>
      <c r="B41" s="5"/>
      <c r="C41" s="5"/>
      <c r="D41" s="5"/>
      <c r="E41" s="5"/>
      <c r="F41" s="5"/>
      <c r="G41" s="5"/>
      <c r="H41" s="5"/>
      <c r="I41" s="5"/>
      <c r="J41" s="5"/>
      <c r="K41" s="5"/>
      <c r="L41" s="5"/>
      <c r="M41" s="5"/>
    </row>
    <row r="42">
      <c r="A42" s="5"/>
      <c r="B42" s="5"/>
      <c r="C42" s="5"/>
      <c r="D42" s="5"/>
      <c r="E42" s="5"/>
      <c r="F42" s="5"/>
      <c r="G42" s="5"/>
      <c r="H42" s="5"/>
      <c r="I42" s="5"/>
      <c r="J42" s="5"/>
      <c r="K42" s="5"/>
      <c r="L42" s="5"/>
      <c r="M42" s="5"/>
    </row>
    <row r="43">
      <c r="A43" s="5"/>
      <c r="B43" s="5"/>
      <c r="C43" s="5"/>
      <c r="D43" s="5"/>
      <c r="E43" s="5"/>
      <c r="F43" s="5"/>
      <c r="G43" s="5"/>
      <c r="H43" s="5"/>
      <c r="I43" s="5"/>
      <c r="J43" s="5"/>
      <c r="K43" s="5"/>
      <c r="L43" s="5"/>
      <c r="M43" s="5"/>
    </row>
    <row r="44">
      <c r="A44" s="5"/>
      <c r="B44" s="5"/>
      <c r="C44" s="5"/>
      <c r="D44" s="5"/>
      <c r="E44" s="5"/>
      <c r="F44" s="5"/>
      <c r="G44" s="5"/>
      <c r="H44" s="5"/>
      <c r="I44" s="5"/>
      <c r="J44" s="5"/>
      <c r="K44" s="5"/>
      <c r="L44" s="5"/>
      <c r="M44" s="5"/>
    </row>
    <row r="45">
      <c r="A45" s="5"/>
      <c r="B45" s="5"/>
      <c r="C45" s="5"/>
      <c r="D45" s="5"/>
      <c r="E45" s="5"/>
      <c r="F45" s="5"/>
      <c r="G45" s="5"/>
      <c r="H45" s="5"/>
      <c r="I45" s="5"/>
      <c r="J45" s="5"/>
      <c r="K45" s="5"/>
      <c r="L45" s="5"/>
      <c r="M45" s="5"/>
    </row>
    <row r="46">
      <c r="A46" s="5"/>
      <c r="B46" s="5"/>
      <c r="C46" s="5"/>
      <c r="D46" s="5"/>
      <c r="E46" s="5"/>
      <c r="F46" s="5"/>
      <c r="G46" s="5"/>
      <c r="H46" s="5"/>
      <c r="I46" s="5"/>
      <c r="J46" s="5"/>
      <c r="K46" s="5"/>
      <c r="L46" s="5"/>
      <c r="M46" s="5"/>
    </row>
    <row r="47">
      <c r="A47" s="5"/>
      <c r="B47" s="5"/>
      <c r="C47" s="5"/>
      <c r="D47" s="5"/>
      <c r="E47" s="5"/>
      <c r="F47" s="5"/>
      <c r="G47" s="5"/>
      <c r="H47" s="5"/>
      <c r="I47" s="5"/>
      <c r="J47" s="5"/>
      <c r="K47" s="5"/>
      <c r="L47" s="5"/>
      <c r="M47" s="5"/>
    </row>
    <row r="48">
      <c r="A48" s="5"/>
      <c r="B48" s="5"/>
      <c r="C48" s="5"/>
      <c r="D48" s="5"/>
      <c r="E48" s="5"/>
      <c r="F48" s="5"/>
      <c r="G48" s="5"/>
      <c r="H48" s="5"/>
      <c r="I48" s="5"/>
      <c r="J48" s="5"/>
      <c r="K48" s="5"/>
      <c r="L48" s="5"/>
      <c r="M48" s="5"/>
    </row>
    <row r="49">
      <c r="A49" s="5"/>
      <c r="B49" s="5"/>
      <c r="C49" s="5"/>
      <c r="D49" s="5"/>
      <c r="E49" s="5"/>
      <c r="F49" s="5"/>
      <c r="G49" s="5"/>
      <c r="H49" s="5"/>
      <c r="I49" s="5"/>
      <c r="J49" s="5"/>
      <c r="K49" s="5"/>
      <c r="L49" s="5"/>
      <c r="M49" s="5"/>
    </row>
    <row r="50">
      <c r="A50" s="5"/>
      <c r="B50" s="5"/>
      <c r="C50" s="5"/>
      <c r="D50" s="5"/>
      <c r="E50" s="5"/>
      <c r="F50" s="5"/>
      <c r="G50" s="5"/>
      <c r="H50" s="5"/>
      <c r="I50" s="5"/>
      <c r="J50" s="5"/>
      <c r="K50" s="5"/>
      <c r="L50" s="5"/>
      <c r="M50" s="5"/>
    </row>
    <row r="51">
      <c r="A51" s="5"/>
      <c r="B51" s="5"/>
      <c r="C51" s="5"/>
      <c r="D51" s="5"/>
      <c r="E51" s="5"/>
      <c r="F51" s="5"/>
      <c r="G51" s="5"/>
      <c r="H51" s="5"/>
      <c r="I51" s="5"/>
      <c r="J51" s="5"/>
      <c r="K51" s="5"/>
      <c r="L51" s="5"/>
      <c r="M51" s="5"/>
    </row>
    <row r="52">
      <c r="A52" s="5"/>
      <c r="B52" s="5"/>
      <c r="C52" s="5"/>
      <c r="D52" s="5"/>
      <c r="E52" s="5"/>
      <c r="F52" s="5"/>
      <c r="G52" s="5"/>
      <c r="H52" s="5"/>
      <c r="I52" s="5"/>
      <c r="J52" s="5"/>
      <c r="K52" s="5"/>
      <c r="L52" s="5"/>
      <c r="M52" s="5"/>
    </row>
    <row r="53">
      <c r="A53" s="5"/>
      <c r="B53" s="5"/>
      <c r="C53" s="5"/>
      <c r="D53" s="5"/>
      <c r="E53" s="5"/>
      <c r="F53" s="5"/>
      <c r="G53" s="5"/>
      <c r="H53" s="5"/>
      <c r="I53" s="5"/>
      <c r="J53" s="5"/>
      <c r="K53" s="5"/>
      <c r="L53" s="5"/>
      <c r="M53" s="5"/>
    </row>
    <row r="54">
      <c r="A54" s="5"/>
      <c r="B54" s="5"/>
      <c r="C54" s="5"/>
      <c r="D54" s="5"/>
      <c r="E54" s="5"/>
      <c r="F54" s="5"/>
      <c r="G54" s="5"/>
      <c r="H54" s="5"/>
      <c r="I54" s="5"/>
      <c r="J54" s="5"/>
      <c r="K54" s="5"/>
      <c r="L54" s="5"/>
      <c r="M54" s="5"/>
    </row>
    <row r="55">
      <c r="A55" s="5"/>
      <c r="B55" s="5"/>
      <c r="C55" s="5"/>
      <c r="D55" s="5"/>
      <c r="E55" s="5"/>
      <c r="F55" s="5"/>
      <c r="G55" s="5"/>
      <c r="H55" s="5"/>
      <c r="I55" s="5"/>
      <c r="J55" s="5"/>
      <c r="K55" s="5"/>
      <c r="L55" s="5"/>
      <c r="M55" s="5"/>
    </row>
    <row r="56">
      <c r="A56" s="5"/>
      <c r="B56" s="5"/>
      <c r="C56" s="5"/>
      <c r="D56" s="5"/>
      <c r="E56" s="5"/>
      <c r="F56" s="5"/>
      <c r="G56" s="5"/>
      <c r="H56" s="5"/>
      <c r="I56" s="5"/>
      <c r="J56" s="5"/>
      <c r="K56" s="5"/>
      <c r="L56" s="5"/>
      <c r="M56" s="5"/>
    </row>
    <row r="57">
      <c r="A57" s="5"/>
      <c r="B57" s="5"/>
      <c r="C57" s="5"/>
      <c r="D57" s="5"/>
      <c r="E57" s="5"/>
      <c r="F57" s="5"/>
      <c r="G57" s="5"/>
      <c r="H57" s="5"/>
      <c r="I57" s="5"/>
      <c r="J57" s="5"/>
      <c r="K57" s="5"/>
      <c r="L57" s="5"/>
      <c r="M57" s="5"/>
    </row>
    <row r="58">
      <c r="A58" s="5"/>
      <c r="B58" s="5"/>
      <c r="C58" s="5"/>
      <c r="D58" s="5"/>
      <c r="E58" s="5"/>
      <c r="F58" s="5"/>
      <c r="G58" s="5"/>
      <c r="H58" s="5"/>
      <c r="I58" s="5"/>
      <c r="J58" s="5"/>
      <c r="K58" s="5"/>
      <c r="L58" s="5"/>
      <c r="M58" s="5"/>
    </row>
    <row r="59">
      <c r="A59" s="5"/>
      <c r="B59" s="5"/>
      <c r="C59" s="5"/>
      <c r="D59" s="5"/>
      <c r="E59" s="5"/>
      <c r="F59" s="5"/>
      <c r="G59" s="5"/>
      <c r="H59" s="5"/>
      <c r="I59" s="5"/>
      <c r="J59" s="5"/>
      <c r="K59" s="5"/>
      <c r="L59" s="5"/>
      <c r="M59" s="5"/>
    </row>
    <row r="60">
      <c r="A60" s="5"/>
      <c r="B60" s="5"/>
      <c r="C60" s="5"/>
      <c r="D60" s="5"/>
      <c r="E60" s="5"/>
      <c r="F60" s="5"/>
      <c r="G60" s="5"/>
      <c r="H60" s="5"/>
      <c r="I60" s="5"/>
      <c r="J60" s="5"/>
      <c r="K60" s="5"/>
      <c r="L60" s="5"/>
      <c r="M60" s="5"/>
    </row>
    <row r="61">
      <c r="A61" s="5"/>
      <c r="B61" s="5"/>
      <c r="C61" s="5"/>
      <c r="D61" s="5"/>
      <c r="E61" s="5"/>
      <c r="F61" s="5"/>
      <c r="G61" s="5"/>
      <c r="H61" s="5"/>
      <c r="I61" s="5"/>
      <c r="J61" s="5"/>
      <c r="K61" s="5"/>
      <c r="L61" s="5"/>
      <c r="M61" s="5"/>
    </row>
    <row r="62">
      <c r="A62" s="5"/>
      <c r="B62" s="5"/>
      <c r="C62" s="5"/>
      <c r="D62" s="5"/>
      <c r="E62" s="5"/>
      <c r="F62" s="5"/>
      <c r="G62" s="5"/>
      <c r="H62" s="5"/>
      <c r="I62" s="5"/>
      <c r="J62" s="5"/>
      <c r="K62" s="5"/>
      <c r="L62" s="5"/>
      <c r="M62" s="5"/>
    </row>
  </sheetData>
  <autoFilter ref="A1:M62"/>
  <dataValidations count="2">
    <dataValidation type="list" allowBlank="1" showErrorMessage="1" sqref="E2:E62">
      <formula1>"Critical,Major,Minor,Cosmetic"</formula1>
    </dataValidation>
    <dataValidation type="list" allowBlank="1" showErrorMessage="1" sqref="M2:M62">
      <formula1>"Open,Fixed,Retest,Closed,Won't fix"</formula1>
    </dataValidation>
  </dataValidations>
  <pageMargins left="0.4" right="0.4" top="0.5" bottom="0.5" header="0.3" footer="0.3"/>
  <pageSetup orientation="landscape" fitToWidth="1" fitToHeight="0"/>
</worksheet>
</file>

<file path=docProps/core.xml><?xml version="1.0" encoding="utf-8"?>
<cp:coreProperties xmlns:cp="http://schemas.openxmlformats.org/package/2006/metadata/core-properties" xmlns:dc="http://purl.org/dc/elements/1.1/" xmlns:dcterms="http://purl.org/dc/terms/" xmlns:xsi="http://www.w3.org/2001/XMLSchema-instance">
  <dc:title>OpenOKR user acceptance test</dc:title>
  <dc:creator>OpenOKR</dc:creator>
</cp:coreProperties>
</file>